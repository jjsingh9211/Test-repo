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workbookProtection workbookPassword="CF63" lockStructure="1"/>
  <bookViews>
    <workbookView xWindow="600" yWindow="285" windowWidth="19320" windowHeight="7875" firstSheet="1" activeTab="1"/>
  </bookViews>
  <sheets>
    <sheet name="Sheet1" sheetId="10" state="hidden" r:id="rId1"/>
    <sheet name="Request Template" sheetId="1" r:id="rId2"/>
    <sheet name="Sheet2" sheetId="2" state="hidden" r:id="rId3"/>
    <sheet name="Account Hierarchy" sheetId="4" state="hidden" r:id="rId4"/>
    <sheet name="Pkg Validator" sheetId="5" state="hidden" r:id="rId5"/>
    <sheet name="Services" sheetId="6" state="hidden" r:id="rId6"/>
    <sheet name="Users" sheetId="9" r:id="rId7"/>
    <sheet name="Sheet3" sheetId="11" state="hidden" r:id="rId8"/>
  </sheets>
  <definedNames>
    <definedName name="_xlnm._FilterDatabase" localSheetId="5" hidden="1">Services!$A$2:$F$3375</definedName>
    <definedName name="_xlnm._FilterDatabase" localSheetId="2" hidden="1">Sheet2!$T$1:$U$137</definedName>
    <definedName name="ContactName">Users!$G$1:$G$152</definedName>
    <definedName name="Permission_to_contact_Current_Employer?">Sheet2!$J$2:$J$3</definedName>
    <definedName name="Region">Sheet2!$E$1:$H$1</definedName>
    <definedName name="Region1">Sheet2!$A$2:$A$5</definedName>
    <definedName name="Singapore">Services!$F$3:$F$5</definedName>
    <definedName name="State_Street___North_America">Sheet2!$E$2:$E$5</definedName>
    <definedName name="State_Street_Corporation___ASIAPAC">Sheet2!$F$2:$F$15</definedName>
    <definedName name="State_Street_Corporation___Australia_Contingent">'Pkg Validator'!$A$2:$A$11</definedName>
    <definedName name="State_Street_Corporation___Australia_Permanent">'Pkg Validator'!$B$2:$B$11</definedName>
    <definedName name="State_Street_Corporation___Belarus_Contingent">'Pkg Validator'!$C$2:$C$11</definedName>
    <definedName name="State_Street_Corporation___Belarus_Permanent">'Pkg Validator'!$D$2:$D$11</definedName>
    <definedName name="State_Street_Corporation___Belgium_Contingent">'Pkg Validator'!$E$2:$E$11</definedName>
    <definedName name="State_Street_Corporation___Belgium_Permanent">'Pkg Validator'!$F$2:$F$11</definedName>
    <definedName name="State_Street_Corporation___Brazil_Contingent">'Pkg Validator'!$G$2:$G$11</definedName>
    <definedName name="State_Street_Corporation___Brazil_Permanent">'Pkg Validator'!$H$2:$H$11</definedName>
    <definedName name="State_Street_Corporation___Brunei_Contingent">'Pkg Validator'!$I$2:$I$11</definedName>
    <definedName name="State_Street_Corporation___Brunei_Permanent">'Pkg Validator'!$J$2:$J$11</definedName>
    <definedName name="State_Street_Corporation___Canada_Contingent">'Pkg Validator'!$K$2:$K$11</definedName>
    <definedName name="State_Street_Corporation___Canada_Permanent">'Pkg Validator'!$L$2:$L$11</definedName>
    <definedName name="State_Street_Corporation___Cayman_Islands_Contingent">'Pkg Validator'!$M$2:$M$11</definedName>
    <definedName name="State_Street_Corporation___Cayman_Islands_Permanent">'Pkg Validator'!$N$2:$N$11</definedName>
    <definedName name="State_Street_Corporation___Channel_Islands_Contingent">'Pkg Validator'!$O$2:$O$11</definedName>
    <definedName name="State_Street_Corporation___Channel_Islands_Permanent">'Pkg Validator'!$P$2:$P$11</definedName>
    <definedName name="State_Street_Corporation___China_Contingent">'Pkg Validator'!$Q$2:$Q$11</definedName>
    <definedName name="State_Street_Corporation___China_Permanent">'Pkg Validator'!$R$2:$R$11</definedName>
    <definedName name="State_Street_Corporation___Costa_Rica_Contingent">'Pkg Validator'!$S$2:$S$11</definedName>
    <definedName name="State_Street_Corporation___Costa_Rica_Permanent">'Pkg Validator'!$T$2:$T$11</definedName>
    <definedName name="State_Street_Corporation___Denmark_Contingent">'Pkg Validator'!$U$2:$U$11</definedName>
    <definedName name="State_Street_Corporation___Denmark_Permanent">'Pkg Validator'!$V$2:$V$11</definedName>
    <definedName name="State_Street_Corporation___EMEA">Sheet2!$G$2:$G$27</definedName>
    <definedName name="State_Street_Corporation___France_Contingent">'Pkg Validator'!$W$2:$W$11</definedName>
    <definedName name="State_Street_Corporation___France_Permanent">'Pkg Validator'!$X$2:$X$11</definedName>
    <definedName name="State_Street_Corporation___Germany_Contingent">'Pkg Validator'!$Y$2:$Y$11</definedName>
    <definedName name="State_Street_Corporation___Germany_Permanent">'Pkg Validator'!$Z$2:$Z$11</definedName>
    <definedName name="State_Street_Corporation___Holland_Contingent">'Pkg Validator'!$AA$2:$AA$11</definedName>
    <definedName name="State_Street_Corporation___Holland_Permanent">'Pkg Validator'!$AB$2:$AB$11</definedName>
    <definedName name="State_Street_Corporation___Hong_Kong_Contingent">'Pkg Validator'!$AC$2:$AC$11</definedName>
    <definedName name="State_Street_Corporation___Hong_Kong_Permanent">'Pkg Validator'!$AD$2:$AD$11</definedName>
    <definedName name="State_Street_Corporation___India_Contingent">'Pkg Validator'!$AE$2:$AE$11</definedName>
    <definedName name="State_Street_Corporation___India_Permanent">'Pkg Validator'!$AF$2:$AF$11</definedName>
    <definedName name="State_Street_Corporation___Ireland_Contingent">'Pkg Validator'!$AG$2:$AG$11</definedName>
    <definedName name="State_Street_Corporation___Ireland_Permanent">'Pkg Validator'!$AH$2:$AH$11</definedName>
    <definedName name="State_Street_Corporation___Israel_Contingent">'Pkg Validator'!$CG$2:$CG$11</definedName>
    <definedName name="State_Street_Corporation___Israel_Permanent">'Pkg Validator'!$CH$2:$CH$11</definedName>
    <definedName name="State_Street_Corporation___Italy_Contingent">'Pkg Validator'!$AI$2:$AI$11</definedName>
    <definedName name="State_Street_Corporation___Italy_Permanent">'Pkg Validator'!$AJ$2:$AJ$11</definedName>
    <definedName name="State_Street_Corporation___Japan_Contingent">'Pkg Validator'!$AK$2:$AK$11</definedName>
    <definedName name="State_Street_Corporation___Japan_Permanent">'Pkg Validator'!$AL$2:$AL$11</definedName>
    <definedName name="State_Street_Corporation___LATAM">Sheet2!$H$2:$H$10</definedName>
    <definedName name="State_Street_Corporation___Luxembourg_Contingent">'Pkg Validator'!$AM$2:$AM$11</definedName>
    <definedName name="State_Street_Corporation___Luxembourg_Permanent">'Pkg Validator'!$AN$2:$AN$11</definedName>
    <definedName name="State_Street_Corporation___Malaysia_Contingent">'Pkg Validator'!$AO$2:$AO$11</definedName>
    <definedName name="State_Street_Corporation___Malaysia_Permanent">'Pkg Validator'!$AP$2:$AP$11</definedName>
    <definedName name="State_Street_Corporation___Mexico_Contingent">'Pkg Validator'!$AQ$2:$AQ$11</definedName>
    <definedName name="State_Street_Corporation___Mexico_Permanent">'Pkg Validator'!$AR$2:$AR$11</definedName>
    <definedName name="State_Street_Corporation___Moldova_Contingent">'Pkg Validator'!$AS$2:$AS$11</definedName>
    <definedName name="State_Street_Corporation___Moldova_Permanent">'Pkg Validator'!$AT$2:$AT$11</definedName>
    <definedName name="State_Street_Corporation___Netherlands_Contingent">'Pkg Validator'!$AU$2:$AU$11</definedName>
    <definedName name="State_Street_Corporation___Netherlands_Permanent">'Pkg Validator'!$AV$2:$AV$11</definedName>
    <definedName name="State_Street_Corporation___Pakistan_Contingent">'Pkg Validator'!$AW$2:$AW$11</definedName>
    <definedName name="State_Street_Corporation___Pakistan_Permanent">'Pkg Validator'!$AX$2:$AX$11</definedName>
    <definedName name="State_Street_Corporation___Philippines_Contingent">'Pkg Validator'!$AY$2:$AY$11</definedName>
    <definedName name="State_Street_Corporation___Philippines_Permanent">'Pkg Validator'!$AZ$2:$AZ$11</definedName>
    <definedName name="State_Street_Corporation___Poland_Contingent">'Pkg Validator'!$BA$2:$BA$11</definedName>
    <definedName name="State_Street_Corporation___Poland_Permanent">'Pkg Validator'!$BB$2:$BB$11</definedName>
    <definedName name="State_Street_Corporation___Qatar_Contingent">'Pkg Validator'!$BC$2:$BC$11</definedName>
    <definedName name="State_Street_Corporation___Qatar_Permanent">'Pkg Validator'!$BD$2:$BD$11</definedName>
    <definedName name="State_Street_Corporation___Russia_Contingent">'Pkg Validator'!$BE$2:$BE$11</definedName>
    <definedName name="State_Street_Corporation___Russia_Permanent">'Pkg Validator'!$BF$2:$BF$11</definedName>
    <definedName name="State_Street_Corporation___Saudi_Arabia_Contingent">'Pkg Validator'!$BG$2:$BG$11</definedName>
    <definedName name="State_Street_Corporation___Saudi_Arabia_Permanent">'Pkg Validator'!$BH$2:$BH$11</definedName>
    <definedName name="State_Street_Corporation___Scotland_Contingent">'Pkg Validator'!$BI$2:$BI$11</definedName>
    <definedName name="State_Street_Corporation___Scotland_Permanent">'Pkg Validator'!$BJ$2:$BJ$11</definedName>
    <definedName name="State_Street_Corporation___Singapore_Contingent">'Pkg Validator'!$BK$2:$BK$11</definedName>
    <definedName name="State_Street_Corporation___Singapore_Permanent">'Pkg Validator'!$BL$2:$BL$11</definedName>
    <definedName name="State_Street_Corporation___South_Africa_Contingent">'Pkg Validator'!$BM$2:$BM$11</definedName>
    <definedName name="State_Street_Corporation___South_Africa_Permanent">'Pkg Validator'!$BN$2:$BN$11</definedName>
    <definedName name="State_Street_Corporation___South_Korea_Contingent">'Pkg Validator'!$BO$2:$BO$11</definedName>
    <definedName name="State_Street_Corporation___South_Korea_Permanent">'Pkg Validator'!$BP$2:$BP$11</definedName>
    <definedName name="State_Street_Corporation___Spain_Contingent">'Pkg Validator'!$BQ$2:$BQ$11</definedName>
    <definedName name="State_Street_Corporation___Spain_Permanent">'Pkg Validator'!$BR$2:$BR$11</definedName>
    <definedName name="State_Street_Corporation___Switzerland_Contingent">'Pkg Validator'!$BS$2:$BS$11</definedName>
    <definedName name="State_Street_Corporation___Switzerland_Permanent">'Pkg Validator'!$BT$2:$BT$11</definedName>
    <definedName name="State_Street_Corporation___Taiwan_Contingent">'Pkg Validator'!$BU$2:$BU$11</definedName>
    <definedName name="State_Street_Corporation___Taiwan_Permanent">'Pkg Validator'!$BV$2:$BV$11</definedName>
    <definedName name="State_Street_Corporation___Thailand_Contingent">'Pkg Validator'!$BW$2:$BW$11</definedName>
    <definedName name="State_Street_Corporation___Thailand_Permanent">'Pkg Validator'!$BX$2:$BX$11</definedName>
    <definedName name="State_Street_Corporation___Ukraine_Contingent">'Pkg Validator'!$BY$2:$BY$11</definedName>
    <definedName name="State_Street_Corporation___Ukraine_Permanent">'Pkg Validator'!$BZ$2:$BZ$11</definedName>
    <definedName name="State_Street_Corporation___United_Arab_Emirates_Contingent">'Pkg Validator'!$CA$2:$CA$11</definedName>
    <definedName name="State_Street_Corporation___United_Arab_Emirates_Permanent">'Pkg Validator'!$CB$2:$CB$11</definedName>
    <definedName name="State_Street_Corporation___United_Kingdom_Contingent">'Pkg Validator'!$CC$2:$CC$11</definedName>
    <definedName name="State_Street_Corporation___United_Kingdom_Permanent">'Pkg Validator'!$CD$2:$CD$11</definedName>
    <definedName name="State_Street_Corporation___United_States_Contingent">'Pkg Validator'!$CE$2:$CE$11</definedName>
    <definedName name="State_Street_Corporation___United_States_Permanent">'Pkg Validator'!$CF$2:$CF$11</definedName>
  </definedNames>
  <calcPr calcId="145621"/>
</workbook>
</file>

<file path=xl/calcChain.xml><?xml version="1.0" encoding="utf-8"?>
<calcChain xmlns="http://schemas.openxmlformats.org/spreadsheetml/2006/main">
  <c r="E44" i="1" l="1"/>
  <c r="E56" i="1" s="1"/>
  <c r="M17" i="1"/>
  <c r="M16" i="1"/>
  <c r="E12" i="1"/>
  <c r="B11" i="1"/>
  <c r="E11" i="1"/>
  <c r="E2" i="9"/>
  <c r="E4" i="9" s="1"/>
  <c r="E3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G2" i="9"/>
  <c r="B14" i="1"/>
  <c r="B32" i="1"/>
  <c r="B31" i="1"/>
  <c r="G3" i="9"/>
  <c r="E26" i="1"/>
  <c r="E41" i="1" s="1"/>
  <c r="E43" i="1"/>
  <c r="E20" i="1"/>
  <c r="E49" i="1" l="1"/>
  <c r="E47" i="1"/>
  <c r="E51" i="1"/>
  <c r="E55" i="1"/>
  <c r="E59" i="1"/>
  <c r="E53" i="1"/>
  <c r="E42" i="1"/>
  <c r="E5" i="9"/>
  <c r="G5" i="9"/>
  <c r="G4" i="9"/>
  <c r="G6" i="9"/>
  <c r="E46" i="1"/>
  <c r="E50" i="1"/>
  <c r="E54" i="1"/>
  <c r="E6" i="9"/>
  <c r="E48" i="1"/>
  <c r="E52" i="1"/>
  <c r="B30" i="1" l="1"/>
  <c r="E7" i="9"/>
  <c r="E8" i="9" s="1"/>
  <c r="G7" i="9" l="1"/>
  <c r="E10" i="9"/>
  <c r="E11" i="9"/>
  <c r="G8" i="9"/>
  <c r="E9" i="9"/>
  <c r="G11" i="9" l="1"/>
  <c r="E13" i="9"/>
  <c r="G9" i="9"/>
  <c r="G10" i="9"/>
  <c r="E12" i="9"/>
  <c r="G13" i="9"/>
  <c r="E14" i="9" l="1"/>
  <c r="G12" i="9"/>
  <c r="E15" i="9" l="1"/>
  <c r="G14" i="9"/>
  <c r="E16" i="9" l="1"/>
  <c r="E17" i="9" l="1"/>
  <c r="E18" i="9" s="1"/>
  <c r="E19" i="9" s="1"/>
  <c r="E20" i="9" s="1"/>
  <c r="E21" i="9" s="1"/>
  <c r="E150" i="9" s="1"/>
  <c r="E151" i="9" s="1"/>
  <c r="G62" i="9" l="1"/>
  <c r="G44" i="9"/>
  <c r="G148" i="9"/>
  <c r="G144" i="9"/>
  <c r="G55" i="9"/>
  <c r="G76" i="9"/>
  <c r="G91" i="9"/>
  <c r="G56" i="9"/>
  <c r="G63" i="9"/>
  <c r="G35" i="9"/>
  <c r="G137" i="9"/>
  <c r="G45" i="9"/>
  <c r="G140" i="9"/>
  <c r="G61" i="9"/>
  <c r="G136" i="9"/>
  <c r="G150" i="9"/>
  <c r="G46" i="9"/>
  <c r="G114" i="9"/>
  <c r="G47" i="9"/>
  <c r="G25" i="9"/>
  <c r="G77" i="9"/>
  <c r="G26" i="9"/>
  <c r="G149" i="9"/>
  <c r="G40" i="9"/>
  <c r="G15" i="9"/>
  <c r="G121" i="9"/>
  <c r="G105" i="9"/>
  <c r="G80" i="9"/>
  <c r="G89" i="9"/>
  <c r="G142" i="9"/>
  <c r="G138" i="9"/>
  <c r="G66" i="9"/>
  <c r="G111" i="9"/>
  <c r="G100" i="9"/>
  <c r="G18" i="9"/>
  <c r="G49" i="9"/>
  <c r="G38" i="9"/>
  <c r="G130" i="9"/>
  <c r="G98" i="9"/>
  <c r="G132" i="9"/>
  <c r="G57" i="9"/>
  <c r="G50" i="9"/>
  <c r="G20" i="9"/>
  <c r="G101" i="9"/>
  <c r="G96" i="9"/>
  <c r="G51" i="9"/>
  <c r="G112" i="9"/>
  <c r="G147" i="9"/>
  <c r="G99" i="9"/>
  <c r="G87" i="9"/>
  <c r="G133" i="9"/>
  <c r="G75" i="9"/>
  <c r="G108" i="9"/>
  <c r="G82" i="9"/>
  <c r="G122" i="9"/>
  <c r="G151" i="9"/>
  <c r="G32" i="9"/>
  <c r="G126" i="9"/>
  <c r="G36" i="9"/>
  <c r="G116" i="9"/>
  <c r="G16" i="9"/>
  <c r="G93" i="9"/>
  <c r="G127" i="9"/>
  <c r="G110" i="9"/>
  <c r="G85" i="9"/>
  <c r="G74" i="9"/>
  <c r="G31" i="9"/>
  <c r="G48" i="9"/>
  <c r="G88" i="9"/>
  <c r="G17" i="9"/>
  <c r="G83" i="9"/>
  <c r="G94" i="9"/>
  <c r="G23" i="9"/>
  <c r="G125" i="9"/>
  <c r="G118" i="9"/>
  <c r="G134" i="9"/>
  <c r="G128" i="9"/>
  <c r="G65" i="9"/>
  <c r="G29" i="9"/>
  <c r="G106" i="9"/>
  <c r="G28" i="9"/>
  <c r="G123" i="9"/>
  <c r="G146" i="9"/>
  <c r="G71" i="9"/>
  <c r="G117" i="9"/>
  <c r="G107" i="9"/>
  <c r="G135" i="9"/>
  <c r="G73" i="9"/>
  <c r="G52" i="9"/>
  <c r="G19" i="9"/>
  <c r="G86" i="9"/>
  <c r="G131" i="9"/>
  <c r="G68" i="9"/>
  <c r="G119" i="9"/>
  <c r="G145" i="9"/>
  <c r="G113" i="9"/>
  <c r="G64" i="9"/>
  <c r="G39" i="9"/>
  <c r="G70" i="9"/>
  <c r="G37" i="9"/>
  <c r="G22" i="9"/>
  <c r="G95" i="9"/>
  <c r="G143" i="9"/>
  <c r="G54" i="9"/>
  <c r="G104" i="9"/>
  <c r="G42" i="9"/>
  <c r="G139" i="9"/>
  <c r="G120" i="9"/>
  <c r="G141" i="9"/>
  <c r="G81" i="9"/>
  <c r="G115" i="9"/>
  <c r="G79" i="9"/>
  <c r="G102" i="9"/>
  <c r="G97" i="9"/>
  <c r="G67" i="9"/>
  <c r="G92" i="9"/>
  <c r="G78" i="9"/>
  <c r="G34" i="9"/>
  <c r="G60" i="9"/>
  <c r="G43" i="9"/>
  <c r="G103" i="9"/>
  <c r="G27" i="9"/>
  <c r="G109" i="9"/>
  <c r="G21" i="9"/>
  <c r="G84" i="9"/>
  <c r="G30" i="9"/>
  <c r="G41" i="9"/>
  <c r="G33" i="9"/>
  <c r="G58" i="9"/>
  <c r="G124" i="9"/>
  <c r="G59" i="9"/>
  <c r="G24" i="9"/>
  <c r="G90" i="9"/>
  <c r="G53" i="9"/>
  <c r="G72" i="9"/>
  <c r="G69" i="9"/>
  <c r="G129" i="9"/>
</calcChain>
</file>

<file path=xl/sharedStrings.xml><?xml version="1.0" encoding="utf-8"?>
<sst xmlns="http://schemas.openxmlformats.org/spreadsheetml/2006/main" count="2890" uniqueCount="763">
  <si>
    <t>Background Request Template</t>
  </si>
  <si>
    <t>To:</t>
  </si>
  <si>
    <t>Sterling Order Creation Department</t>
  </si>
  <si>
    <t>E-mail:</t>
  </si>
  <si>
    <t>E-mail address</t>
  </si>
  <si>
    <t>Region1</t>
  </si>
  <si>
    <t>North America</t>
  </si>
  <si>
    <t>State Street - North America</t>
  </si>
  <si>
    <t>State Street Corporation - ASIAPAC</t>
  </si>
  <si>
    <t>State Street Corporation - EMEA</t>
  </si>
  <si>
    <t>State Street Corporation - LATAM</t>
  </si>
  <si>
    <t>State Street Corporation - Canada</t>
  </si>
  <si>
    <t>State Street Corporation - Australia</t>
  </si>
  <si>
    <t>State Street Corporation - Belarus</t>
  </si>
  <si>
    <t>State Street Corporation - Brazil</t>
  </si>
  <si>
    <t>EMEA</t>
  </si>
  <si>
    <t>State Street Corporation - United States</t>
  </si>
  <si>
    <t>State Street Corporation - Brunei</t>
  </si>
  <si>
    <t>State Street Corporation - Belgium</t>
  </si>
  <si>
    <t>State Street Corporation - Cayman Islands</t>
  </si>
  <si>
    <t>State Street Corporation - China</t>
  </si>
  <si>
    <t>State Street Corporation - Channel Islands</t>
  </si>
  <si>
    <t>State Street Corporation - Costa Rica</t>
  </si>
  <si>
    <t>State Street Corporation - Hong Kong</t>
  </si>
  <si>
    <t>State Street Corporation - Denmark</t>
  </si>
  <si>
    <t>State Street Corporation - Mexico</t>
  </si>
  <si>
    <t>State Street Corporation - India</t>
  </si>
  <si>
    <t>State Street Corporation - France</t>
  </si>
  <si>
    <t>State Street Corporation - Japan</t>
  </si>
  <si>
    <t>State Street Corporation - Germany</t>
  </si>
  <si>
    <t>State Street Corporation - Malaysia</t>
  </si>
  <si>
    <t>State Street Corporation - Holland</t>
  </si>
  <si>
    <t>State Street Corporation - Pakistan</t>
  </si>
  <si>
    <t>State Street Corporation - Ireland</t>
  </si>
  <si>
    <t>State Street Corporation - Philippines</t>
  </si>
  <si>
    <t>State Street Corporation - Italy</t>
  </si>
  <si>
    <t>State Street Corporation - Russia</t>
  </si>
  <si>
    <t>State Street Corporation - Luxembourg</t>
  </si>
  <si>
    <t>State Street Corporation - Singapore</t>
  </si>
  <si>
    <t>State Street Corporation - Moldova</t>
  </si>
  <si>
    <t>State Street Corporation - South Korea</t>
  </si>
  <si>
    <t>State Street Corporation - Netherlands</t>
  </si>
  <si>
    <t>State Street Corporation - Taiwan</t>
  </si>
  <si>
    <t>State Street Corporation - Poland</t>
  </si>
  <si>
    <t>State Street Corporation - Thailand</t>
  </si>
  <si>
    <t>State Street Corporation - Qatar</t>
  </si>
  <si>
    <t>State Street Corporation - Saudi Arabia</t>
  </si>
  <si>
    <t>State Street Corporation - Scotland</t>
  </si>
  <si>
    <t>State Street Corporation - South Africa</t>
  </si>
  <si>
    <t>State Street Corporation - Spain</t>
  </si>
  <si>
    <t>State Street Corporation - Switzerland</t>
  </si>
  <si>
    <t>State Street Corporation - Ukraine</t>
  </si>
  <si>
    <t>State Street Corporation - United Arab Emirates</t>
  </si>
  <si>
    <t>State Street Corporation - United Kingdom</t>
  </si>
  <si>
    <t>State_Street___North_America</t>
  </si>
  <si>
    <t>State_Street_Corporation___ASIAPAC</t>
  </si>
  <si>
    <t>State_Street_Corporation___EMEA</t>
  </si>
  <si>
    <t>State_Street_Corporation___LATAM</t>
  </si>
  <si>
    <t>State Street Corporation</t>
  </si>
  <si>
    <t>State Street Corporation - Canada Contingent</t>
  </si>
  <si>
    <t>State Street Corporation - Canada Permanent</t>
  </si>
  <si>
    <t>Permanent</t>
  </si>
  <si>
    <t>Contingent</t>
  </si>
  <si>
    <t>Account Name</t>
  </si>
  <si>
    <t>ActId</t>
  </si>
  <si>
    <t>Company</t>
  </si>
  <si>
    <t>State Street Corporation - United States Contingent</t>
  </si>
  <si>
    <t>State Street Corporation - United States Permanent</t>
  </si>
  <si>
    <t>State Street Corporation - Belarus Contingent</t>
  </si>
  <si>
    <t>State Street Corporation - Belarus Permanent</t>
  </si>
  <si>
    <t>State Street Corporation - Belgium Contingent</t>
  </si>
  <si>
    <t>State Street Corporation - Belgium Permanent</t>
  </si>
  <si>
    <t>State Street Corporation - Channel Islands Contingent</t>
  </si>
  <si>
    <t>State Street Corporation - Channel Islands Permanent</t>
  </si>
  <si>
    <t>State Street Corporation - France Contingent</t>
  </si>
  <si>
    <t>State Street Corporation - France Permanent</t>
  </si>
  <si>
    <t>State Street Corporation - Germany Contingent</t>
  </si>
  <si>
    <t>State Street Corporation - Germany Permanent</t>
  </si>
  <si>
    <t>State Street Corporation - Holland Contingent</t>
  </si>
  <si>
    <t>State Street Corporation - Holland Permanent</t>
  </si>
  <si>
    <t>State Street Corporation -  Italy Contingent</t>
  </si>
  <si>
    <t>State Street Corporation -  Italy Permanent</t>
  </si>
  <si>
    <t>State Street Corporation - Luxembourg Contingent</t>
  </si>
  <si>
    <t>State Street Corporation - Luxembourg Permanent</t>
  </si>
  <si>
    <t>State Street Corporation - Netherlands Contingent</t>
  </si>
  <si>
    <t>State Street Corporation - Netherlands Permanent</t>
  </si>
  <si>
    <t>State Street Corporation - Poland Contingent</t>
  </si>
  <si>
    <t>State Street Corporation - Poland Permanent</t>
  </si>
  <si>
    <t>State Street Corporation - Scotland Contingent</t>
  </si>
  <si>
    <t>State Street Corporation - Scotland Permanent</t>
  </si>
  <si>
    <t>State Street Corporation - Spain Contingent</t>
  </si>
  <si>
    <t>State Street Corporation - Spain Permanent</t>
  </si>
  <si>
    <t>State Street Corporation - Switzerland Contingent</t>
  </si>
  <si>
    <t>State Street Corporation - Switzerland Permanent</t>
  </si>
  <si>
    <t>State Street Corporation - Ukraine Contingent</t>
  </si>
  <si>
    <t>State Street Corporation - Ukraine Permanent</t>
  </si>
  <si>
    <t>State Street Corporation - Denmark Contingent</t>
  </si>
  <si>
    <t>State Street Corporation - Denmark Permanent</t>
  </si>
  <si>
    <t>State Street Corporation - Ireland Contingent</t>
  </si>
  <si>
    <t>State Street Corporation - Ireland Permanent</t>
  </si>
  <si>
    <t>State Street Corporation - Moldova Contingent</t>
  </si>
  <si>
    <t>State Street Corporation - Moldova Permanent</t>
  </si>
  <si>
    <t>State Street Corporation - Qatar Contingent</t>
  </si>
  <si>
    <t>State Street Corporation - Qatar Permanent</t>
  </si>
  <si>
    <t>State Street Corporation - Saudi Arabia Contingent</t>
  </si>
  <si>
    <t>State Street Corporation - Saudi Arabia Permanent</t>
  </si>
  <si>
    <t>State Street Corporation - South Africa Contingent</t>
  </si>
  <si>
    <t>State Street Corporation - South Africa Permanent</t>
  </si>
  <si>
    <t>State Street Corporation - United Arab Emirates Contingent</t>
  </si>
  <si>
    <t>State Street Corporation - United Arab Emirates Permanent</t>
  </si>
  <si>
    <t>State Street Corporation - United Kingdom Contingent</t>
  </si>
  <si>
    <t>State Street Corporation - United Kingdom Permanent</t>
  </si>
  <si>
    <t>State Street Corporation - Australia Contingent</t>
  </si>
  <si>
    <t>State Street Corporation - Australia Permanent</t>
  </si>
  <si>
    <t>State Street Corporation - Brunei Contingent</t>
  </si>
  <si>
    <t>State Street Corporation - Brunei Permanent</t>
  </si>
  <si>
    <t>State Street Corporation - China Contingent</t>
  </si>
  <si>
    <t>State Street Corporation - China Permanent</t>
  </si>
  <si>
    <t>State Street Corporation - Hong Kong Contingent</t>
  </si>
  <si>
    <t>State Street Corporation - Hong Kong Permanent</t>
  </si>
  <si>
    <t>State Street Corporation - India Contingent</t>
  </si>
  <si>
    <t>State Street Corporation - India Permanent</t>
  </si>
  <si>
    <t>State Street Corporation - Japan Contingent</t>
  </si>
  <si>
    <t>State Street Corporation - Japan Permanent</t>
  </si>
  <si>
    <t>State Street Corporation - Malaysia Contingent</t>
  </si>
  <si>
    <t>State Street Corporation - Malaysia Permanent</t>
  </si>
  <si>
    <t>State Street Corporation - Pakistan Contingent</t>
  </si>
  <si>
    <t>State Street Corporation - Pakistan Permanent</t>
  </si>
  <si>
    <t>State Street Corporation - Philippines Contingent</t>
  </si>
  <si>
    <t>State Street Corporation - Philippines Permanent</t>
  </si>
  <si>
    <t>State Street Corporation - Russia Contingent</t>
  </si>
  <si>
    <t>State Street Corporation - Russia Permanent</t>
  </si>
  <si>
    <t>State Street Corporation - Singapore Contingent</t>
  </si>
  <si>
    <t>State Street Corporation - Singapore Permanent</t>
  </si>
  <si>
    <t>State Street Corporation - South Korea Contingent</t>
  </si>
  <si>
    <t>State Street Corporation - South Korea Permanent</t>
  </si>
  <si>
    <t>State Street Corporation - Taiwan Contingent</t>
  </si>
  <si>
    <t>State Street Corporation - Taiwan Permanent</t>
  </si>
  <si>
    <t>State Street Corporation - Thailand Contingent</t>
  </si>
  <si>
    <t>State Street Corporation - Thailand Permanent</t>
  </si>
  <si>
    <t>State Street Corporation - Brazil Contingent</t>
  </si>
  <si>
    <t>State Street Corporation - Brazil Permanent</t>
  </si>
  <si>
    <t>State Street Corporation - Cayman Islands Contingent</t>
  </si>
  <si>
    <t>State Street Corporation - Cayman Islands Permanent</t>
  </si>
  <si>
    <t>State Street Corporation - Costa Rica Contingent</t>
  </si>
  <si>
    <t>State Street Corporation - Costa Rica Permanent</t>
  </si>
  <si>
    <t>State Street Corporation - Mexico Contingent</t>
  </si>
  <si>
    <t>State Street Corporation - Mexico Permanent</t>
  </si>
  <si>
    <t>Account ID</t>
  </si>
  <si>
    <t>Package</t>
  </si>
  <si>
    <t>State Street Corporation - Italy Contingent</t>
  </si>
  <si>
    <t>State Street Corporation - Italy Permanent</t>
  </si>
  <si>
    <t>AML</t>
  </si>
  <si>
    <t>Financial Stability Indicator</t>
  </si>
  <si>
    <t>International Civil Check</t>
  </si>
  <si>
    <t>International Criminal Search</t>
  </si>
  <si>
    <t>Australia (Intern), Standard BI</t>
  </si>
  <si>
    <t>Credential Verification - Int.</t>
  </si>
  <si>
    <t>Education Verification - Int.</t>
  </si>
  <si>
    <t>Employment Verification - Int.</t>
  </si>
  <si>
    <t>Australia Cont, Basic (No LAN)</t>
  </si>
  <si>
    <t>Australia cont, Standard (ITG, Consultan</t>
  </si>
  <si>
    <t>Australia cont, Standard (Vendor / Partn</t>
  </si>
  <si>
    <t>Directorships</t>
  </si>
  <si>
    <t>Media Search</t>
  </si>
  <si>
    <t>Australia, Limited (Vendor/Partner-NonIT</t>
  </si>
  <si>
    <t>Australia, Standard BI</t>
  </si>
  <si>
    <t>Belarus (Intern), Standard BI</t>
  </si>
  <si>
    <t>Belarus Cont, Basic (No LAN)</t>
  </si>
  <si>
    <t>Belarus cont, Standard (ITG, Consultants</t>
  </si>
  <si>
    <t>Belarus cont, Standard (Vendor / Partner</t>
  </si>
  <si>
    <t>Belarus, Executive BI (SVP or higher)</t>
  </si>
  <si>
    <t>Belarus, Limited-(Vendor/Partner- NonIT</t>
  </si>
  <si>
    <t>Belarus, Standard BI</t>
  </si>
  <si>
    <t>Belgium (Intern), Standard BI</t>
  </si>
  <si>
    <t>Belgium Cont, Basic (No LAN)</t>
  </si>
  <si>
    <t>Belgium cont, Standard (ITG, Consultants</t>
  </si>
  <si>
    <t>Belgium cont, Standard (Vendor / Partner</t>
  </si>
  <si>
    <t>Belgium, Executive BI (SVP or higher)</t>
  </si>
  <si>
    <t>Belgium, Limited - (Vendor/Partner NonIT</t>
  </si>
  <si>
    <t>Belgium, Standard BI</t>
  </si>
  <si>
    <t>Brazil (Intern), Standard BI</t>
  </si>
  <si>
    <t>Brazil Cont, Basic (No LAN)</t>
  </si>
  <si>
    <t>Brazil cont, Standard (ITG, Consultants,</t>
  </si>
  <si>
    <t>Brazil, Executive BI (SVP or higher)</t>
  </si>
  <si>
    <t>Brazil, Limited - (Vendor/Partner -NonIT</t>
  </si>
  <si>
    <t>Brazil, Standard BI</t>
  </si>
  <si>
    <t>Brunei (Intern), Standard BI</t>
  </si>
  <si>
    <t>Brunei Cont, Basic (No LAN)</t>
  </si>
  <si>
    <t>Brunei cont, Standard (ITG, Consultants,</t>
  </si>
  <si>
    <t>Brunei, Limited - (Vendor/Partner-NonIT</t>
  </si>
  <si>
    <t>Brunei, Standard BI</t>
  </si>
  <si>
    <t>Canada.Cont, Basic (No LAN)</t>
  </si>
  <si>
    <t>Canada.Cont, Limited - (Vendor / Partner</t>
  </si>
  <si>
    <t>International Credit</t>
  </si>
  <si>
    <t>Canada.Cont, Standard (ITG, Consultants,</t>
  </si>
  <si>
    <t>Canada.Employee, Executive BI (SVP o</t>
  </si>
  <si>
    <t>Canada.Employee, Standard BI</t>
  </si>
  <si>
    <t>Cayman Islands (Intern), Standard BI</t>
  </si>
  <si>
    <t>Cayman Islands Cont, Basic (No LAN)</t>
  </si>
  <si>
    <t>Cayman Islands cont, Standard (ITG, Cons</t>
  </si>
  <si>
    <t>Cayman Islands, Executive BI (SVP or hig</t>
  </si>
  <si>
    <t>Cayman Islands, Limited - (Vendor / Part</t>
  </si>
  <si>
    <t>Cayman Islands, Standard BI</t>
  </si>
  <si>
    <t>Channel Islands (Intern), Standard BI</t>
  </si>
  <si>
    <t>Channel Islands Cont, Basic (No LAN)</t>
  </si>
  <si>
    <t>Channel Islands cont, Standard (ITG, Con</t>
  </si>
  <si>
    <t>Channel Islands cont, Standard (Vendor /</t>
  </si>
  <si>
    <t>Channel Islands, Executive BI (SVP or hi</t>
  </si>
  <si>
    <t>Channel Islands, Limited - (Vendor /Part</t>
  </si>
  <si>
    <t>Channel Islands, Standard BI</t>
  </si>
  <si>
    <t>China (Intern), Standard BI</t>
  </si>
  <si>
    <t>China Cont, Basic (No LAN)</t>
  </si>
  <si>
    <t>China cont, Standard (Vendor / Partner -</t>
  </si>
  <si>
    <t>China, Limited - (Vendor / Partner - Non</t>
  </si>
  <si>
    <t>China, Standard BI</t>
  </si>
  <si>
    <t>Costa Rica contingent Worker</t>
  </si>
  <si>
    <t>Denmark (Intern), Standard BI</t>
  </si>
  <si>
    <t>Denmark, Standard BI</t>
  </si>
  <si>
    <t>Employee performing Controlled Functions</t>
  </si>
  <si>
    <t>Extended Global Sanctions</t>
  </si>
  <si>
    <t>Fitness and Probity screening</t>
  </si>
  <si>
    <t>France (Intern), Standard BI</t>
  </si>
  <si>
    <t>France Cont, Basic (No LAN)</t>
  </si>
  <si>
    <t>France cont, Standard (ITG, Consultants,</t>
  </si>
  <si>
    <t>France, Executive BI (SVP or higher)</t>
  </si>
  <si>
    <t>France, Limited - (Vendor / Partner - No</t>
  </si>
  <si>
    <t>France, Standard BI</t>
  </si>
  <si>
    <t>Germany (Intern), Standard BI</t>
  </si>
  <si>
    <t>Germany Cont, Basic (No LAN)</t>
  </si>
  <si>
    <t>Germany cont, Standard (ITG, Consultants</t>
  </si>
  <si>
    <t>Germany cont, Standard (Vendor / Partner</t>
  </si>
  <si>
    <t>Germany, Executive BI (SVP or higher)</t>
  </si>
  <si>
    <t>Germany, Limited - (Vendor / Partner - N</t>
  </si>
  <si>
    <t>Germany, Standard BI</t>
  </si>
  <si>
    <t>Holland (Intern), Standard BI</t>
  </si>
  <si>
    <t>Holland Cont, Basic (No LAN)</t>
  </si>
  <si>
    <t>Holland cont, Standard (ITG, Consultants</t>
  </si>
  <si>
    <t>Holland cont, Standard (Vendor / Partner</t>
  </si>
  <si>
    <t>Holland, Executive BI (SVP or higher)</t>
  </si>
  <si>
    <t>Holland, Limited - (Vendor / Partne</t>
  </si>
  <si>
    <t>Holland, Standard BI</t>
  </si>
  <si>
    <t>Hong Kong (Intern), Standard BI</t>
  </si>
  <si>
    <t>Hong Kong Cont, Basic (No LAN)</t>
  </si>
  <si>
    <t>Hong Kong cont, Standard (ITG, Consultan</t>
  </si>
  <si>
    <t>Hong Kong cont, Standard (Vendor / Partn</t>
  </si>
  <si>
    <t>Hong Kong, Limited - (Vendor / Partner -</t>
  </si>
  <si>
    <t>Hong Kong, Standard BI</t>
  </si>
  <si>
    <t>India (Intern), Standard BI</t>
  </si>
  <si>
    <t>India Cont, Basic (No LAN)</t>
  </si>
  <si>
    <t>India cont, Standard (Vendor / Partner -</t>
  </si>
  <si>
    <t>India, Limited - (Vendor / Partner - Non</t>
  </si>
  <si>
    <t>India, Standard BI</t>
  </si>
  <si>
    <t>Ireland (Intern), Standard BI</t>
  </si>
  <si>
    <t>Ireland Cont, Basic (No LAN)</t>
  </si>
  <si>
    <t>Ireland cont, Standard (ITG, Consultants</t>
  </si>
  <si>
    <t>Ireland cont, Standard (Vendor / Partner</t>
  </si>
  <si>
    <t>Ireland, Executive BI (SVP or higher)</t>
  </si>
  <si>
    <t>Ireland, Limited - (Vendor / Partner - N</t>
  </si>
  <si>
    <t>Ireland, Standard BI</t>
  </si>
  <si>
    <t>Italy (Intern), Standard BI</t>
  </si>
  <si>
    <t>Italy Cont, Basic (No LAN)</t>
  </si>
  <si>
    <t>Italy cont, Standard (Vendor / Partner -</t>
  </si>
  <si>
    <t>Italy, Executive BI (SVP or higher)</t>
  </si>
  <si>
    <t>Italy, Limited - (Vendor / Partner - Non</t>
  </si>
  <si>
    <t>Italy, Standard BI</t>
  </si>
  <si>
    <t>Japan (Intern), Standard BI</t>
  </si>
  <si>
    <t>Japan Cont, Basic (No LAN)</t>
  </si>
  <si>
    <t>Japan cont, Standard (Vendor / Partner -</t>
  </si>
  <si>
    <t>Japan, Limited - (Vendor / Partner - Non</t>
  </si>
  <si>
    <t>Japan, Standard BI</t>
  </si>
  <si>
    <t>Luxembourg (Intern), Standard BI</t>
  </si>
  <si>
    <t>Luxembourg Cont, Basic (No LAN)</t>
  </si>
  <si>
    <t>Luxembourg cont, Standard (ITG, Consulta</t>
  </si>
  <si>
    <t>Luxembourg cont, Standard (Vendor / Part</t>
  </si>
  <si>
    <t>Luxembourg, Executive BI (SVP or higher)</t>
  </si>
  <si>
    <t>Luxembourg, Standard BI</t>
  </si>
  <si>
    <t>Malaysia (Intern), Standard BI</t>
  </si>
  <si>
    <t>Malaysia Cont, Basic (No LAN)</t>
  </si>
  <si>
    <t>Malaysia cont, Standard (ITG, Consultant</t>
  </si>
  <si>
    <t>Malaysia cont, Standard (Vendor / Partne</t>
  </si>
  <si>
    <t>Malaysia, Standard BI</t>
  </si>
  <si>
    <t>Mexico (Intern), Standard BI</t>
  </si>
  <si>
    <t>Mexico Cont, Basic (No LAN)</t>
  </si>
  <si>
    <t>Mexico cont, Standard (ITG, Consultants,</t>
  </si>
  <si>
    <t>Mexico, Executive BI (SVP or higher)</t>
  </si>
  <si>
    <t>Mexico, Limited - (Vendor / Partner - No</t>
  </si>
  <si>
    <t>Mexico, Standard BI</t>
  </si>
  <si>
    <t>Moldova (Intern), Standard BI</t>
  </si>
  <si>
    <t>Moldova Cont, Basic (No LAN)</t>
  </si>
  <si>
    <t>Moldova cont, Standard (ITG, Consultants</t>
  </si>
  <si>
    <t>Moldova cont, Standard (Vendor / Partner</t>
  </si>
  <si>
    <t>Moldova, Executive BI (SVP or higher)</t>
  </si>
  <si>
    <t>Moldova, Limited - (Vendor / Partner - N</t>
  </si>
  <si>
    <t>Moldova, Standard BI</t>
  </si>
  <si>
    <t>MVR Only</t>
  </si>
  <si>
    <t>Drivers Record</t>
  </si>
  <si>
    <t>Netherlands (Intern), Standard BI</t>
  </si>
  <si>
    <t>Netherlands Cont, Basic (No LAN)</t>
  </si>
  <si>
    <t>Netherlands cont, Standard (ITG, Consult</t>
  </si>
  <si>
    <t>Netherlands cont, Standard (Vendor / Par</t>
  </si>
  <si>
    <t>Netherlands, Executive BI (SVP or higher</t>
  </si>
  <si>
    <t>Netherlands, Limited - (Vendor / Partner</t>
  </si>
  <si>
    <t>Netherlands, Standard BI</t>
  </si>
  <si>
    <t>Philippines (Intern), Standard BI</t>
  </si>
  <si>
    <t>Philippines Cont, Basic (No LAN)</t>
  </si>
  <si>
    <t>Philippines cont, Standard (ITG, Consult</t>
  </si>
  <si>
    <t>Philippines cont, Standard (Vendor / Par</t>
  </si>
  <si>
    <t>Philippines, Limited - (Vendor / Partner</t>
  </si>
  <si>
    <t>Philippines, Standard BI</t>
  </si>
  <si>
    <t>Poland (Intern), Standard BI</t>
  </si>
  <si>
    <t>Poland Cont, Basic (No LAN)</t>
  </si>
  <si>
    <t>Poland cont, Standard (ITG, Consultants,</t>
  </si>
  <si>
    <t>Poland, Executive BI (SVP or higher)</t>
  </si>
  <si>
    <t>Poland, Limited - (Vendor / Partner</t>
  </si>
  <si>
    <t>Poland, Standard BI</t>
  </si>
  <si>
    <t>Qatar (Intern), Standard BI</t>
  </si>
  <si>
    <t>Qatar Cont, Basic (No LAN)</t>
  </si>
  <si>
    <t>Qatar, Executive BI (SVP or higher)</t>
  </si>
  <si>
    <t>Qatar, Limited - (Vendor / Partner - Non</t>
  </si>
  <si>
    <t>Qatar, Standard BI</t>
  </si>
  <si>
    <t>Russia (Intern), Standard BI</t>
  </si>
  <si>
    <t>Russia Cont, Basic (No LAN)</t>
  </si>
  <si>
    <t>Russia cont, Standard (ITG, Consultants,</t>
  </si>
  <si>
    <t>Russia, Executive BI (SVP or higher)</t>
  </si>
  <si>
    <t>Russia, Limited - (Vendor / Partner - No</t>
  </si>
  <si>
    <t>Russia, Standard BI</t>
  </si>
  <si>
    <t>Saudi Arabia , Standard BI</t>
  </si>
  <si>
    <t>Scotland (Intern), Standard BI</t>
  </si>
  <si>
    <t>Scotland Cont, Basic (No LAN)</t>
  </si>
  <si>
    <t>Scotland cont, Standard (ITG, Consultant</t>
  </si>
  <si>
    <t>Scotland cont, Standard (Vendor / Partne</t>
  </si>
  <si>
    <t>Scotland, Executive BI (SVP or higher)</t>
  </si>
  <si>
    <t>Scotland, Limited - (Vendor / Partnner -</t>
  </si>
  <si>
    <t>Scotland, Standard BI</t>
  </si>
  <si>
    <t>Singapore (Intern), Standard BI</t>
  </si>
  <si>
    <t>Singapore Cont, Basic (No LAN)</t>
  </si>
  <si>
    <t>Singapore cont, Standard (ITG, Consultan</t>
  </si>
  <si>
    <t>Singapore cont, Standard (Vendor / Partn</t>
  </si>
  <si>
    <t>Singapore, Limited - (Vendor / Partner -</t>
  </si>
  <si>
    <t>Singapore, Standard BI</t>
  </si>
  <si>
    <t>South Africa (Intern), Standard BI</t>
  </si>
  <si>
    <t>South Africa Cont, Basic (No LAN)</t>
  </si>
  <si>
    <t>South Africa cont, Standard (ITG, Consul</t>
  </si>
  <si>
    <t>South Africa cont, Standard (Vendor / Pa</t>
  </si>
  <si>
    <t>South Africa, Executive BI (SVP or highe</t>
  </si>
  <si>
    <t>South Africa, Limited - (Vendor / Partne</t>
  </si>
  <si>
    <t>South Africa, Standard BI</t>
  </si>
  <si>
    <t>South Korea (Intern), Standard BI</t>
  </si>
  <si>
    <t>South Korea Cont, Basic (No LAN)</t>
  </si>
  <si>
    <t>South Korea cont, Standard (ITG, Consult</t>
  </si>
  <si>
    <t>South Korea cont, Standard (Vendor / Par</t>
  </si>
  <si>
    <t>South Korea, Limited - (Vendor / Partner</t>
  </si>
  <si>
    <t>South Korea, Standard BI</t>
  </si>
  <si>
    <t>Spain (Intern), Standard BI</t>
  </si>
  <si>
    <t>Spain Cont, Basic (No LAN)</t>
  </si>
  <si>
    <t>Spain cont, Standard (Vendor / Partner -</t>
  </si>
  <si>
    <t>Spain, Executive BI (SVP or higher)</t>
  </si>
  <si>
    <t>Spain, Standard BI</t>
  </si>
  <si>
    <t>Switzerland (Intern), Standard BI</t>
  </si>
  <si>
    <t>Switzerland Cont, Basic (No LAN)</t>
  </si>
  <si>
    <t>Switzerland cont, Standard (ITG, Consult</t>
  </si>
  <si>
    <t>Switzerland cont, Standard (Vendor/Par</t>
  </si>
  <si>
    <t>Switzerland, Executive BI (SVP or higher</t>
  </si>
  <si>
    <t>Switzerland, Limited - (Vendor / Partner</t>
  </si>
  <si>
    <t>Switzerland, Standard BI</t>
  </si>
  <si>
    <t>Taiwan (Intern), Standard BI</t>
  </si>
  <si>
    <t>Taiwan Cont, Basic (No LAN)</t>
  </si>
  <si>
    <t>Taiwan cont, Standard (ITG, Consultants,</t>
  </si>
  <si>
    <t>Taiwan, Limited - (Vendor / Partner - No</t>
  </si>
  <si>
    <t>Taiwan, Standard BI</t>
  </si>
  <si>
    <t>Temp to Perm</t>
  </si>
  <si>
    <t>Thailand (Intern), Standard BI</t>
  </si>
  <si>
    <t>Thailand Cont, Basic (No LAN)</t>
  </si>
  <si>
    <t>Thailand cont, Standard (ITG, Consultant</t>
  </si>
  <si>
    <t>Thailand cont, Standard (Vendor / Partne</t>
  </si>
  <si>
    <t>Thailand, Standard BI</t>
  </si>
  <si>
    <t>Ukraine (Intern), Standard BI</t>
  </si>
  <si>
    <t>Ukraine Cont, Basic (No LAN)</t>
  </si>
  <si>
    <t>Ukraine cont, Standard (ITG, Consultants</t>
  </si>
  <si>
    <t>Ukraine cont, Standard (Vendor / Partner</t>
  </si>
  <si>
    <t>Ukraine, Executive BI (SVP or higher)</t>
  </si>
  <si>
    <t>Ukraine, Limited - (Vendor / Partner - N</t>
  </si>
  <si>
    <t>Ukraine, Standard BI</t>
  </si>
  <si>
    <t>United Arab Emirates Cont, Basic (No LAN</t>
  </si>
  <si>
    <t>United Arab Emirates cont, Standard (ITG</t>
  </si>
  <si>
    <t>United Arab Emirates cont, Standard (Ven</t>
  </si>
  <si>
    <t>United Arab Emirates, Standard BI</t>
  </si>
  <si>
    <t>United Kingdom (Intern), Standard BI</t>
  </si>
  <si>
    <t>United Kingdom Cont, Basic (No LAN)</t>
  </si>
  <si>
    <t>United Kingdom cont, Standard (ITG, Cons</t>
  </si>
  <si>
    <t>United Kingdom, Executive BI (SVP or hig</t>
  </si>
  <si>
    <t>United Kingdom, Limited - (Vendor / Part</t>
  </si>
  <si>
    <t>United Kingdom, Standard B</t>
  </si>
  <si>
    <t>United Kingdom-FCA Rescreen Package</t>
  </si>
  <si>
    <t>United Kingdom-FCA Standard Permanent Wo</t>
  </si>
  <si>
    <t>United Kingdom-FCA Transfer/Promotion &lt;5</t>
  </si>
  <si>
    <t>US Cont, Basic (No LAN)</t>
  </si>
  <si>
    <t>US Cont, Limited - (Vendor / Partner - N</t>
  </si>
  <si>
    <t>SSN Trace</t>
  </si>
  <si>
    <t>US Cont, Standard (ITG, Consultants, JV,</t>
  </si>
  <si>
    <t>US Cont, Standard (Vendor / Partner -IT)</t>
  </si>
  <si>
    <t>US Employee (Intern), Basic BI</t>
  </si>
  <si>
    <t>US Employee (Intern), Standard BI</t>
  </si>
  <si>
    <t>US Employee, Executive BI (SVP or higher</t>
  </si>
  <si>
    <t>County Criminal Record</t>
  </si>
  <si>
    <t>Federal Criminal Record</t>
  </si>
  <si>
    <t>Multi-State/Jurisdiction Criminal w/o Sex Offender</t>
  </si>
  <si>
    <t>US Employee, Standard BI</t>
  </si>
  <si>
    <t>International Criminal Search (AUSTRALIA)</t>
  </si>
  <si>
    <t>International Criminal Search (BELARUS)</t>
  </si>
  <si>
    <t>International Criminal Search (BELGIUM)</t>
  </si>
  <si>
    <t>International Criminal Search (BRAZIL)</t>
  </si>
  <si>
    <t>International Criminal Search (BRUNEI)</t>
  </si>
  <si>
    <t>International Criminal Search (CANADA)</t>
  </si>
  <si>
    <t>International Criminal Search (CAYMAN ISLANDS)</t>
  </si>
  <si>
    <t>International Criminal Search (CHINA)</t>
  </si>
  <si>
    <t>International Criminal Search (DENMARK)</t>
  </si>
  <si>
    <t>International Criminal Search (FRANCE)</t>
  </si>
  <si>
    <t>International Criminal Search (GERMANY)</t>
  </si>
  <si>
    <t>International Criminal Search (INDIA)</t>
  </si>
  <si>
    <t>International Criminal Search (ITALY)</t>
  </si>
  <si>
    <t>International Criminal Search (LUXEMBOURG)</t>
  </si>
  <si>
    <t>International Criminal Search (MALAYSIA)</t>
  </si>
  <si>
    <t>International Criminal Search (MEXICO)</t>
  </si>
  <si>
    <t>International Criminal Search (MOLDOVA)</t>
  </si>
  <si>
    <t>International Criminal Search (NETHERLANDS)</t>
  </si>
  <si>
    <t>International Criminal Search (PHILIPPINES)</t>
  </si>
  <si>
    <t>International Criminal Search (QATAR)</t>
  </si>
  <si>
    <t>International Criminal Search (RUSSIA)</t>
  </si>
  <si>
    <t>International Criminal Search (SAUDI ARABIA)</t>
  </si>
  <si>
    <t>International Criminal Search (SOUTH AFRICA)</t>
  </si>
  <si>
    <t>International Criminal Search (SPAIN)</t>
  </si>
  <si>
    <t>International Criminal Search (SWITZERLAND)</t>
  </si>
  <si>
    <t>International Criminal Search (THAILAND)</t>
  </si>
  <si>
    <t>International Criminal Search (UKRAINE)</t>
  </si>
  <si>
    <t>International Criminal Search (UNITED ARAB EMIRATES)</t>
  </si>
  <si>
    <t>International Criminal Search (UNITED KINGDOM)</t>
  </si>
  <si>
    <t>State_Street_Corporation___United_States_Permanent</t>
  </si>
  <si>
    <t>Account Name1</t>
  </si>
  <si>
    <t>Services</t>
  </si>
  <si>
    <t>Canada</t>
  </si>
  <si>
    <t>Australia</t>
  </si>
  <si>
    <t>Belarus</t>
  </si>
  <si>
    <t>Brazil</t>
  </si>
  <si>
    <t>United States</t>
  </si>
  <si>
    <t>Brunei</t>
  </si>
  <si>
    <t>Belgium</t>
  </si>
  <si>
    <t>Cayman Islands</t>
  </si>
  <si>
    <t>China</t>
  </si>
  <si>
    <t>Channel Islands</t>
  </si>
  <si>
    <t>Costa Rica</t>
  </si>
  <si>
    <t>Hong Kong</t>
  </si>
  <si>
    <t>Denmark</t>
  </si>
  <si>
    <t>Mexico</t>
  </si>
  <si>
    <t>India</t>
  </si>
  <si>
    <t>France</t>
  </si>
  <si>
    <t>Japan</t>
  </si>
  <si>
    <t>Germany</t>
  </si>
  <si>
    <t>Malaysia</t>
  </si>
  <si>
    <t>Holland</t>
  </si>
  <si>
    <t>Pakistan</t>
  </si>
  <si>
    <t>Ireland</t>
  </si>
  <si>
    <t>Philippines</t>
  </si>
  <si>
    <t>Italy</t>
  </si>
  <si>
    <t>Russia</t>
  </si>
  <si>
    <t>Luxembourg</t>
  </si>
  <si>
    <t>Singapore</t>
  </si>
  <si>
    <t>Moldova</t>
  </si>
  <si>
    <t>South Korea</t>
  </si>
  <si>
    <t>Netherlands</t>
  </si>
  <si>
    <t>Taiwan</t>
  </si>
  <si>
    <t>Poland</t>
  </si>
  <si>
    <t>Thailand</t>
  </si>
  <si>
    <t>Qatar</t>
  </si>
  <si>
    <t>Saudi Arabia</t>
  </si>
  <si>
    <t>Scotland</t>
  </si>
  <si>
    <t>South Africa</t>
  </si>
  <si>
    <t>Spain</t>
  </si>
  <si>
    <t>Switzerland</t>
  </si>
  <si>
    <t>Ukraine</t>
  </si>
  <si>
    <t>United Arab Emirates</t>
  </si>
  <si>
    <t>United Kingdom</t>
  </si>
  <si>
    <t>State_Street_Corporation___Australia_Permanent</t>
  </si>
  <si>
    <t>State_Street_Corporation___Belarus_Permanent</t>
  </si>
  <si>
    <t>State_Street_Corporation___Belgium_Permanent</t>
  </si>
  <si>
    <t>State_Street_Corporation___Brazil_Permanent</t>
  </si>
  <si>
    <t>State_Street_Corporation___Brunei_Permanent</t>
  </si>
  <si>
    <t>State_Street_Corporation___Canada_Permanent</t>
  </si>
  <si>
    <t>State_Street_Corporation___Cayman_Islands_Permanent</t>
  </si>
  <si>
    <t>State_Street_Corporation___Channel_Islands_Permanent</t>
  </si>
  <si>
    <t>State_Street_Corporation___China_Permanent</t>
  </si>
  <si>
    <t>State_Street_Corporation___Costa_Rica_Contingent</t>
  </si>
  <si>
    <t>State_Street_Corporation___Costa_Rica_Permanent</t>
  </si>
  <si>
    <t>State_Street_Corporation___Denmark_Permanent</t>
  </si>
  <si>
    <t>State_Street_Corporation___France_Permanent</t>
  </si>
  <si>
    <t>State_Street_Corporation___Germany_Permanent</t>
  </si>
  <si>
    <t>State_Street_Corporation___Holland_Permanent</t>
  </si>
  <si>
    <t>State_Street_Corporation___Hong_Kong_Permanent</t>
  </si>
  <si>
    <t>State_Street_Corporation___India_Permanent</t>
  </si>
  <si>
    <t>State_Street_Corporation___Ireland_Permanent</t>
  </si>
  <si>
    <t>State_Street_Corporation___Italy_Permanent</t>
  </si>
  <si>
    <t>State_Street_Corporation___Japan_Permanent</t>
  </si>
  <si>
    <t>State_Street_Corporation___Luxembourg_Permanent</t>
  </si>
  <si>
    <t>State_Street_Corporation___Malaysia_Permanent</t>
  </si>
  <si>
    <t>State_Street_Corporation___Mexico_Permanent</t>
  </si>
  <si>
    <t>State_Street_Corporation___Moldova_Permanent</t>
  </si>
  <si>
    <t>State_Street_Corporation___Netherlands_Permanent</t>
  </si>
  <si>
    <t>State_Street_Corporation___Pakistan_Permanent</t>
  </si>
  <si>
    <t>State_Street_Corporation___Philippines_Permanent</t>
  </si>
  <si>
    <t>State_Street_Corporation___Poland_Permanent</t>
  </si>
  <si>
    <t>State_Street_Corporation___Qatar_Permanent</t>
  </si>
  <si>
    <t>State_Street_Corporation___Russia_Permanent</t>
  </si>
  <si>
    <t>State_Street_Corporation___Scotland_Permanent</t>
  </si>
  <si>
    <t>State_Street_Corporation___Saudi_Arabia_Permanent</t>
  </si>
  <si>
    <t>State_Street_Corporation___Singapore_Permanent</t>
  </si>
  <si>
    <t>State_Street_Corporation___South_Africa_Permanent</t>
  </si>
  <si>
    <t>State_Street_Corporation___South_Korea_Permanent</t>
  </si>
  <si>
    <t>State_Street_Corporation___Spain_Permanent</t>
  </si>
  <si>
    <t>State_Street_Corporation___Switzerland_Permanent</t>
  </si>
  <si>
    <t>State_Street_Corporation___Taiwan_Permanent</t>
  </si>
  <si>
    <t>State_Street_Corporation___Thailand_Permanent</t>
  </si>
  <si>
    <t>State_Street_Corporation___Ukraine_Permanent</t>
  </si>
  <si>
    <t>State_Street_Corporation___United_Arab_Emirates_Permanent</t>
  </si>
  <si>
    <t>State_Street_Corporation___United_Kingdom_Permanent</t>
  </si>
  <si>
    <t>State_Street_Corporation___Australia_Contingent</t>
  </si>
  <si>
    <t>State_Street_Corporation___Belarus_Contingent</t>
  </si>
  <si>
    <t>State_Street_Corporation___Belgium_Contingent</t>
  </si>
  <si>
    <t>State_Street_Corporation___Brazil_Contingent</t>
  </si>
  <si>
    <t>State_Street_Corporation___Brunei_Contingent</t>
  </si>
  <si>
    <t>State_Street_Corporation___Canada_Contingent</t>
  </si>
  <si>
    <t>State_Street_Corporation___Cayman_Islands_Contingent</t>
  </si>
  <si>
    <t>State_Street_Corporation___Channel_Islands_Contingent</t>
  </si>
  <si>
    <t>State_Street_Corporation___China_Contingent</t>
  </si>
  <si>
    <t>State_Street_Corporation___Denmark_Contingent</t>
  </si>
  <si>
    <t>State_Street_Corporation___France_Contingent</t>
  </si>
  <si>
    <t>State_Street_Corporation___Germany_Contingent</t>
  </si>
  <si>
    <t>State_Street_Corporation___Holland_Contingent</t>
  </si>
  <si>
    <t>State_Street_Corporation___Hong_Kong_Contingent</t>
  </si>
  <si>
    <t>State_Street_Corporation___India_Contingent</t>
  </si>
  <si>
    <t>State_Street_Corporation___Ireland_Contingent</t>
  </si>
  <si>
    <t>State_Street_Corporation___Japan_Contingent</t>
  </si>
  <si>
    <t>State_Street_Corporation___Italy_Contingent</t>
  </si>
  <si>
    <t>State_Street_Corporation___Luxembourg_Contingent</t>
  </si>
  <si>
    <t>State_Street_Corporation___Malaysia_Contingent</t>
  </si>
  <si>
    <t>State_Street_Corporation___Mexico_Contingent</t>
  </si>
  <si>
    <t>State_Street_Corporation___Moldova_Contingent</t>
  </si>
  <si>
    <t>State_Street_Corporation___Netherlands_Contingent</t>
  </si>
  <si>
    <t>State_Street_Corporation___Pakistan_Contingent</t>
  </si>
  <si>
    <t>State_Street_Corporation___Philippines_Contingent</t>
  </si>
  <si>
    <t>State_Street_Corporation___Poland_Contingent</t>
  </si>
  <si>
    <t>State_Street_Corporation___Qatar_Contingent</t>
  </si>
  <si>
    <t>State_Street_Corporation___Russia_Contingent</t>
  </si>
  <si>
    <t>State_Street_Corporation___Saudi_Arabia_Contingent</t>
  </si>
  <si>
    <t>State_Street_Corporation___Scotland_Contingent</t>
  </si>
  <si>
    <t>State_Street_Corporation___Singapore_Contingent</t>
  </si>
  <si>
    <t>State_Street_Corporation___South_Africa_Contingent</t>
  </si>
  <si>
    <t>State_Street_Corporation___South_Korea_Contingent</t>
  </si>
  <si>
    <t>State_Street_Corporation___Spain_Contingent</t>
  </si>
  <si>
    <t>State_Street_Corporation___Switzerland_Contingent</t>
  </si>
  <si>
    <t>State_Street_Corporation___Taiwan_Contingent</t>
  </si>
  <si>
    <t>State_Street_Corporation___Thailand_Contingent</t>
  </si>
  <si>
    <t>State_Street_Corporation___Ukraine_Contingent</t>
  </si>
  <si>
    <t>State_Street_Corporation___United_Arab_Emirates_Contingent</t>
  </si>
  <si>
    <t>State_Street_Corporation___United_Kingdom_Contingent</t>
  </si>
  <si>
    <t>State_Street_Corporation___United_States_Contingent</t>
  </si>
  <si>
    <t>Validator Name</t>
  </si>
  <si>
    <t>&lt;Please Select Region&gt;</t>
  </si>
  <si>
    <t>&lt;Please Select Package&gt;</t>
  </si>
  <si>
    <t>|- - - - - - - - - - - - - - - - - - - - - - - - - - - - - - STERLING USE ONLY - - - - - - - - - - - - - - - - - - - - - - - - - - - - - - |</t>
  </si>
  <si>
    <t>CustID</t>
  </si>
  <si>
    <t>* required information</t>
  </si>
  <si>
    <r>
      <rPr>
        <b/>
        <sz val="10"/>
        <color rgb="FFFF0000"/>
        <rFont val="Arial"/>
        <family val="2"/>
      </rPr>
      <t xml:space="preserve">* </t>
    </r>
    <r>
      <rPr>
        <b/>
        <sz val="10"/>
        <rFont val="Arial"/>
        <family val="2"/>
      </rPr>
      <t>Name</t>
    </r>
  </si>
  <si>
    <r>
      <rPr>
        <b/>
        <sz val="10"/>
        <color rgb="FFFF0000"/>
        <rFont val="Arial"/>
        <family val="2"/>
      </rPr>
      <t xml:space="preserve">* </t>
    </r>
    <r>
      <rPr>
        <b/>
        <sz val="10"/>
        <rFont val="Arial"/>
        <family val="2"/>
      </rPr>
      <t>Region</t>
    </r>
  </si>
  <si>
    <r>
      <rPr>
        <b/>
        <sz val="10"/>
        <color rgb="FFFF0000"/>
        <rFont val="Arial"/>
        <family val="2"/>
      </rPr>
      <t xml:space="preserve">* </t>
    </r>
    <r>
      <rPr>
        <b/>
        <sz val="10"/>
        <rFont val="Arial"/>
        <family val="2"/>
      </rPr>
      <t>Country</t>
    </r>
  </si>
  <si>
    <r>
      <rPr>
        <b/>
        <sz val="10"/>
        <color rgb="FFFF0000"/>
        <rFont val="Arial"/>
        <family val="2"/>
      </rPr>
      <t xml:space="preserve">* </t>
    </r>
    <r>
      <rPr>
        <b/>
        <sz val="10"/>
        <rFont val="Arial"/>
        <family val="2"/>
      </rPr>
      <t>Type</t>
    </r>
  </si>
  <si>
    <t>User ID</t>
  </si>
  <si>
    <t>User Id</t>
  </si>
  <si>
    <t>Email Address</t>
  </si>
  <si>
    <t>Alyssa Andon</t>
  </si>
  <si>
    <t>aandon</t>
  </si>
  <si>
    <t>aaandon@statestreet.com</t>
  </si>
  <si>
    <t>Christopher Rose</t>
  </si>
  <si>
    <t>crose1</t>
  </si>
  <si>
    <t>crose@statestreet.com</t>
  </si>
  <si>
    <t>Damien Gonsalves</t>
  </si>
  <si>
    <t>dgonsalves</t>
  </si>
  <si>
    <t>djgonsalves@statestreet.com</t>
  </si>
  <si>
    <t>Erin Casavant</t>
  </si>
  <si>
    <t>ecasavant</t>
  </si>
  <si>
    <t>Jennifer Hatem</t>
  </si>
  <si>
    <t>jhatem</t>
  </si>
  <si>
    <t>jhatem@statestreet.com</t>
  </si>
  <si>
    <t>Kristine Western</t>
  </si>
  <si>
    <t>kwestern</t>
  </si>
  <si>
    <t>kwestern@statestreet.com</t>
  </si>
  <si>
    <t>Mark Wright</t>
  </si>
  <si>
    <t>mwright1</t>
  </si>
  <si>
    <t>mwright2@statestreet.com</t>
  </si>
  <si>
    <t>Patrick Jennings</t>
  </si>
  <si>
    <t>pjennings1</t>
  </si>
  <si>
    <t>pjennings2@statestreet.com</t>
  </si>
  <si>
    <t>Valerie Bosse</t>
  </si>
  <si>
    <t>vbosse</t>
  </si>
  <si>
    <t>vbosse@statestreet.com</t>
  </si>
  <si>
    <t>Vincent Brigance</t>
  </si>
  <si>
    <t>vbrigance</t>
  </si>
  <si>
    <t>vbrigance@statestreet.com</t>
  </si>
  <si>
    <t>&lt;Please Select Name&gt;</t>
  </si>
  <si>
    <t>**No Name found**</t>
  </si>
  <si>
    <r>
      <rPr>
        <b/>
        <sz val="10"/>
        <color rgb="FFFF0000"/>
        <rFont val="Arial"/>
        <family val="2"/>
      </rPr>
      <t xml:space="preserve">* </t>
    </r>
    <r>
      <rPr>
        <b/>
        <sz val="10"/>
        <rFont val="Arial"/>
        <family val="2"/>
      </rPr>
      <t>New Name</t>
    </r>
  </si>
  <si>
    <t>(Select One)</t>
  </si>
  <si>
    <t>Enter Name here</t>
  </si>
  <si>
    <r>
      <rPr>
        <b/>
        <sz val="10"/>
        <color rgb="FFFF0000"/>
        <rFont val="Arial"/>
        <family val="2"/>
      </rPr>
      <t xml:space="preserve">* </t>
    </r>
    <r>
      <rPr>
        <b/>
        <sz val="10"/>
        <rFont val="Arial"/>
        <family val="2"/>
      </rPr>
      <t>Package</t>
    </r>
  </si>
  <si>
    <r>
      <rPr>
        <b/>
        <sz val="11"/>
        <color rgb="FFFF0000"/>
        <rFont val="Calibri"/>
        <family val="2"/>
        <scheme val="minor"/>
      </rPr>
      <t xml:space="preserve">* </t>
    </r>
    <r>
      <rPr>
        <b/>
        <sz val="11"/>
        <color theme="1"/>
        <rFont val="Calibri"/>
        <family val="2"/>
        <scheme val="minor"/>
      </rPr>
      <t>Ok to contact Current Employer?</t>
    </r>
  </si>
  <si>
    <r>
      <rPr>
        <b/>
        <sz val="11"/>
        <color rgb="FFFF0000"/>
        <rFont val="Calibri"/>
        <family val="2"/>
        <scheme val="minor"/>
      </rPr>
      <t xml:space="preserve">* </t>
    </r>
    <r>
      <rPr>
        <b/>
        <sz val="11"/>
        <color theme="1"/>
        <rFont val="Calibri"/>
        <family val="2"/>
        <scheme val="minor"/>
      </rPr>
      <t>FCA Regulatory Reference Requested?</t>
    </r>
  </si>
  <si>
    <r>
      <rPr>
        <b/>
        <sz val="11"/>
        <color rgb="FFFF0000"/>
        <rFont val="Calibri"/>
        <family val="2"/>
        <scheme val="minor"/>
      </rPr>
      <t xml:space="preserve">* </t>
    </r>
    <r>
      <rPr>
        <b/>
        <sz val="11"/>
        <color theme="1"/>
        <rFont val="Calibri"/>
        <family val="2"/>
        <scheme val="minor"/>
      </rPr>
      <t>FCA Registry Database Search requested?</t>
    </r>
  </si>
  <si>
    <t>Jessica Bolam</t>
  </si>
  <si>
    <t>jbolam</t>
  </si>
  <si>
    <t>Laura Carman</t>
  </si>
  <si>
    <t>LCarman9</t>
  </si>
  <si>
    <t>Rob Marley</t>
  </si>
  <si>
    <t>RMarley9</t>
  </si>
  <si>
    <t>Cristina Snaidero</t>
  </si>
  <si>
    <t>CSnaidero9</t>
  </si>
  <si>
    <t>Kelvin Tang</t>
  </si>
  <si>
    <t>KTang9</t>
  </si>
  <si>
    <t>jbolam@statestreet.com</t>
  </si>
  <si>
    <t>lcarman@statestreet.com</t>
  </si>
  <si>
    <t>ecasavant@statestreet.com</t>
  </si>
  <si>
    <t>rmarley@statestreet.com</t>
  </si>
  <si>
    <t>csnaidero@statestreet.com</t>
  </si>
  <si>
    <t>kktang@statestreet.com</t>
  </si>
  <si>
    <t>Cc Final Report</t>
  </si>
  <si>
    <t>State Street Corporation - APAC</t>
  </si>
  <si>
    <t>State Street Corporation - Other</t>
  </si>
  <si>
    <t>State Street Corporation - OTHER</t>
  </si>
  <si>
    <t>OTHER</t>
  </si>
  <si>
    <t>APAC</t>
  </si>
  <si>
    <t>Employment Verification</t>
  </si>
  <si>
    <t xml:space="preserve"> </t>
  </si>
  <si>
    <t>SSBCanada@sterlingbackcheck.com</t>
  </si>
  <si>
    <t>StateStreetBoston@sterlingbackcheck.com</t>
  </si>
  <si>
    <t>StateStreetIntl@sterlingbackcheck.com</t>
  </si>
  <si>
    <t>Contact Name</t>
  </si>
  <si>
    <t>--</t>
  </si>
  <si>
    <t>State Street Corporation - Austria</t>
  </si>
  <si>
    <t>State Street Corporation - Austria Permanent</t>
  </si>
  <si>
    <t>State Street Corporation - Austria Contingent</t>
  </si>
  <si>
    <t>Other</t>
  </si>
  <si>
    <t>statestreetintl@sterlingbackcheck.com</t>
  </si>
  <si>
    <t>Right to Work - Australia (Added it through A La Carte)</t>
  </si>
  <si>
    <t>Financial Services - Australia (Added it through A La Carte)</t>
  </si>
  <si>
    <t>Credential Verification</t>
  </si>
  <si>
    <t>Benedetta Cosco</t>
  </si>
  <si>
    <t>BCosco9</t>
  </si>
  <si>
    <t>bcosco@statestreet.com</t>
  </si>
  <si>
    <t>Miguel Medina</t>
  </si>
  <si>
    <t>MMedina9</t>
  </si>
  <si>
    <t>mmedina@statestreet.com</t>
  </si>
  <si>
    <t>Denmark - Standard</t>
  </si>
  <si>
    <t>Australia, Executive BI (VP or higher)</t>
  </si>
  <si>
    <t>Brunei Cont, Basic (No LAN) (Clone)</t>
  </si>
  <si>
    <t>Brunei, Executive BI (VP or higher)</t>
  </si>
  <si>
    <t>Managed Adjudication Review</t>
  </si>
  <si>
    <t>China, Executive BI (VP or higher)</t>
  </si>
  <si>
    <t>Hong Kong, Executive BI (VP or higher)</t>
  </si>
  <si>
    <t>India, Executive BI (VP or higher)</t>
  </si>
  <si>
    <t>Japan, Executive BI (VP or higher)</t>
  </si>
  <si>
    <t>Malaysia, Executive BI (VP or higher)</t>
  </si>
  <si>
    <t>Philippines, Executive BI (VP or higher</t>
  </si>
  <si>
    <t>Singapore, Executive BI (VP or higher)</t>
  </si>
  <si>
    <t>South Korea, Executive BI (VP or higher</t>
  </si>
  <si>
    <t>Taiwan, Executive BI (VP or higher)</t>
  </si>
  <si>
    <t>Thailand, Executive BI (VP or higher)</t>
  </si>
  <si>
    <t>United Kingdom FCA Executive</t>
  </si>
  <si>
    <t>Employee Credit Report</t>
  </si>
  <si>
    <t>Education Verification</t>
  </si>
  <si>
    <t>Denmark - Limited</t>
  </si>
  <si>
    <t>United Arab Emirates (Intern), Standard</t>
  </si>
  <si>
    <t>China cont, Standard (ITG, Consultants,</t>
  </si>
  <si>
    <t>India cont, Standard (ITG, Consultants,</t>
  </si>
  <si>
    <t>Italy cont, Standard (ITG, Consultants,</t>
  </si>
  <si>
    <t>Japan cont, Standard (ITG, Consultants,</t>
  </si>
  <si>
    <t>United Arab Emirates, Executive BI (SVP</t>
  </si>
  <si>
    <t>Brazil cont, Standard (Vendor / Partner</t>
  </si>
  <si>
    <t>Brunei cont, Standard (Vendor / Partner</t>
  </si>
  <si>
    <t>Cayman Islands cont, Standard (Vendor /</t>
  </si>
  <si>
    <t>France cont, Standard (Vendor / Partner</t>
  </si>
  <si>
    <t>Mexico cont, Standard (Vendor / Partner</t>
  </si>
  <si>
    <t>Poland cont, Standard (Vendor / Partner</t>
  </si>
  <si>
    <t>Russia cont, Standard (Vendor / Partner</t>
  </si>
  <si>
    <t>Spain Limited - (Vendor / Partner</t>
  </si>
  <si>
    <t>Taiwan cont, Standard (Vendor / Partner</t>
  </si>
  <si>
    <t>United Kingdom cont, Standard (Vendor /</t>
  </si>
  <si>
    <t>Luxembourg, Limited - (Vendor / Partner</t>
  </si>
  <si>
    <t>Malaysia, Limited - (Vendor / Partner -</t>
  </si>
  <si>
    <t>Spain, Standard (ITG, Consultants,</t>
  </si>
  <si>
    <t>Thailand, Limited - (Vendor / Partner -</t>
  </si>
  <si>
    <t>United Arab Emirates, Limited - (Vendor</t>
  </si>
  <si>
    <t>United Kingdom-FCA Transfer/Promotion&gt;5</t>
  </si>
  <si>
    <t>Saudi Arabia (Intern), Standard BI</t>
  </si>
  <si>
    <t>Saudi Arabia cont, Standard (ITG, Consu</t>
  </si>
  <si>
    <t>Saudi Arabia cont, Standard (Vendor / P</t>
  </si>
  <si>
    <t>International Criminal Search (COSTA RICA)</t>
  </si>
  <si>
    <t>Jia Zhang</t>
  </si>
  <si>
    <t>JZhang9</t>
  </si>
  <si>
    <t>jzhang2@statestreet.com</t>
  </si>
  <si>
    <t>State Street Corporation - Israel Contingent</t>
  </si>
  <si>
    <t>State Street Corporation - Israel Permanent</t>
  </si>
  <si>
    <t>Israel cont, Standard (ITG, Consultants, JV, Temp-IT)</t>
  </si>
  <si>
    <t>Israel (Intern), Standard BI</t>
  </si>
  <si>
    <t>Israel cont, Standard (Vendor / Partner -IT)</t>
  </si>
  <si>
    <t>Israel, Standard BI</t>
  </si>
  <si>
    <t>Israel, Limited - (Vendor / Partner - Non IT, Temp-Non IT)</t>
  </si>
  <si>
    <t>State_Street_Corporation___Israel_Contingent</t>
  </si>
  <si>
    <t>State_Street_Corporation___Israel_Permanent</t>
  </si>
  <si>
    <t>Israel</t>
  </si>
  <si>
    <t>Dhara Patel</t>
  </si>
  <si>
    <t>dpatel5@statestreet.com</t>
  </si>
  <si>
    <t>dhapatel1</t>
  </si>
  <si>
    <t>Chelsea Calvanese</t>
  </si>
  <si>
    <t>cachelsea</t>
  </si>
  <si>
    <t>ccalvanese@statestreet.com</t>
  </si>
  <si>
    <t>State_Street_Corporation__Israel Permanent</t>
  </si>
  <si>
    <t>State_Street_Corporation__Israel_Contingent</t>
  </si>
  <si>
    <t>State Street Corporation - Israel</t>
  </si>
  <si>
    <t>k</t>
  </si>
  <si>
    <t>SSBEurope@sterlingbackcheck.com</t>
  </si>
  <si>
    <t>Yes</t>
  </si>
  <si>
    <t>International Comprehensive Criminal Search (MEXICO)</t>
  </si>
  <si>
    <t>FSI</t>
  </si>
  <si>
    <t>RAyers2@StateStreet.com</t>
  </si>
  <si>
    <t>Ronnie Mae Ayers</t>
  </si>
  <si>
    <t>RAyers9</t>
  </si>
  <si>
    <t>Julia Spinella</t>
  </si>
  <si>
    <t>jspinella@statestreet.com</t>
  </si>
  <si>
    <t>jspinella</t>
  </si>
  <si>
    <t>SRoss3@StateStreet.com</t>
  </si>
  <si>
    <t>Sharon Ross</t>
  </si>
  <si>
    <t>shaross</t>
  </si>
  <si>
    <t>Kasey Crampton</t>
  </si>
  <si>
    <t xml:space="preserve"> ksycrampton </t>
  </si>
  <si>
    <t>kcrampton@statestreet.com</t>
  </si>
  <si>
    <t>Monetry Authority Of Singapore (Add it through A La Carte)</t>
  </si>
  <si>
    <t>Brigid Reynolds</t>
  </si>
  <si>
    <t>brireynolds</t>
  </si>
  <si>
    <t>BReynolds2@StateStreet.com</t>
  </si>
  <si>
    <t>Ivan Ng</t>
  </si>
  <si>
    <t>lvcwang</t>
  </si>
  <si>
    <t xml:space="preserve"> CNg6@StateStreet.com</t>
  </si>
  <si>
    <t>Melanie Blaszkowski</t>
  </si>
  <si>
    <t>meblaszkowski</t>
  </si>
  <si>
    <t>MBlaszkowski2@StateStreet.com</t>
  </si>
  <si>
    <t>Vennessa Yatooma</t>
  </si>
  <si>
    <t>yatoomav</t>
  </si>
  <si>
    <t>vyatooma@statestreet.com</t>
  </si>
  <si>
    <t>Michael Wixson</t>
  </si>
  <si>
    <t>micwixson</t>
  </si>
  <si>
    <t>Mwixson@statestreet.com</t>
  </si>
  <si>
    <t>Shenali Gunaratne</t>
  </si>
  <si>
    <t>sgunarante</t>
  </si>
  <si>
    <t>sgunaratne@statestreet.com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</si>
</sst>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rgb="FF9C0006"/>
      <name val="Calibri"/>
      <family val="2"/>
    </font>
    <font>
      <b/>
      <sz val="11"/>
      <color rgb="FFFA7D00"/>
      <name val="Calibri"/>
      <family val="2"/>
    </font>
    <font>
      <i/>
      <sz val="11"/>
      <color rgb="FF7F7F7F"/>
      <name val="Calibri"/>
      <family val="2"/>
    </font>
    <font>
      <sz val="11"/>
      <color rgb="FF006100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3F3F76"/>
      <name val="Calibri"/>
      <family val="2"/>
    </font>
    <font>
      <sz val="11"/>
      <color rgb="FFFA7D00"/>
      <name val="Calibri"/>
      <family val="2"/>
    </font>
    <font>
      <sz val="11"/>
      <color rgb="FF9C6500"/>
      <name val="Calibri"/>
      <family val="2"/>
    </font>
    <font>
      <b/>
      <sz val="11"/>
      <color rgb="FF3F3F3F"/>
      <name val="Calibri"/>
      <family val="2"/>
    </font>
    <font>
      <b/>
      <sz val="18"/>
      <color theme="3"/>
      <name val="Cambria"/>
      <family val="2"/>
    </font>
    <font>
      <b/>
      <sz val="11"/>
      <color indexed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0000"/>
      <name val="Arial"/>
      <family val="2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i/>
      <sz val="9"/>
      <color theme="1"/>
      <name val="Calibri"/>
      <family val="2"/>
      <scheme val="minor"/>
    </font>
    <font>
      <sz val="9"/>
      <color rgb="FF222222"/>
      <name val="Arial"/>
      <family val="2"/>
    </font>
    <font>
      <sz val="11"/>
      <color rgb="FF00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46">
    <xf numFmtId="0" fontId="0" fillId="0" borderId="0"/>
    <xf numFmtId="0" fontId="3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12" fillId="29" borderId="0" applyNumberFormat="0" applyBorder="0" applyAlignment="0" applyProtection="0"/>
    <xf numFmtId="0" fontId="13" fillId="30" borderId="6" applyNumberFormat="0" applyAlignment="0" applyProtection="0"/>
    <xf numFmtId="0" fontId="9" fillId="31" borderId="9" applyNumberFormat="0" applyAlignment="0" applyProtection="0"/>
    <xf numFmtId="0" fontId="14" fillId="0" borderId="0" applyNumberFormat="0" applyFill="0" applyBorder="0" applyAlignment="0" applyProtection="0"/>
    <xf numFmtId="0" fontId="15" fillId="32" borderId="0" applyNumberFormat="0" applyBorder="0" applyAlignment="0" applyProtection="0"/>
    <xf numFmtId="0" fontId="16" fillId="0" borderId="10" applyNumberFormat="0" applyFill="0" applyAlignment="0" applyProtection="0"/>
    <xf numFmtId="0" fontId="17" fillId="0" borderId="10" applyNumberFormat="0" applyFill="0" applyAlignment="0" applyProtection="0"/>
    <xf numFmtId="0" fontId="18" fillId="0" borderId="11" applyNumberFormat="0" applyFill="0" applyAlignment="0" applyProtection="0"/>
    <xf numFmtId="0" fontId="18" fillId="0" borderId="0" applyNumberFormat="0" applyFill="0" applyBorder="0" applyAlignment="0" applyProtection="0"/>
    <xf numFmtId="0" fontId="19" fillId="4" borderId="6" applyNumberFormat="0" applyAlignment="0" applyProtection="0"/>
    <xf numFmtId="0" fontId="20" fillId="0" borderId="12" applyNumberFormat="0" applyFill="0" applyAlignment="0" applyProtection="0"/>
    <xf numFmtId="0" fontId="21" fillId="33" borderId="0" applyNumberFormat="0" applyBorder="0" applyAlignment="0" applyProtection="0"/>
    <xf numFmtId="0" fontId="7" fillId="3" borderId="6" applyNumberFormat="0" applyFont="0" applyAlignment="0" applyProtection="0"/>
    <xf numFmtId="0" fontId="22" fillId="30" borderId="6" applyNumberFormat="0" applyAlignment="0" applyProtection="0"/>
    <xf numFmtId="0" fontId="23" fillId="0" borderId="0" applyNumberFormat="0" applyFill="0" applyBorder="0" applyAlignment="0" applyProtection="0"/>
    <xf numFmtId="0" fontId="10" fillId="0" borderId="13" applyNumberFormat="0" applyFill="0" applyAlignment="0" applyProtection="0"/>
    <xf numFmtId="0" fontId="11" fillId="0" borderId="0" applyNumberFormat="0" applyFill="0" applyBorder="0" applyAlignment="0" applyProtection="0"/>
    <xf numFmtId="0" fontId="3" fillId="0" borderId="0"/>
  </cellStyleXfs>
  <cellXfs count="116">
    <xf numFmtId="0" fontId="0" fillId="0" borderId="0" xfId="0"/>
    <xf numFmtId="0" fontId="2" fillId="0" borderId="0" xfId="0" applyFont="1"/>
    <xf numFmtId="0" fontId="7" fillId="0" borderId="6" xfId="3" applyFont="1" applyBorder="1"/>
    <xf numFmtId="0" fontId="10" fillId="34" borderId="6" xfId="3" applyFont="1" applyFill="1" applyBorder="1"/>
    <xf numFmtId="0" fontId="3" fillId="0" borderId="0" xfId="45"/>
    <xf numFmtId="0" fontId="3" fillId="0" borderId="20" xfId="45" applyBorder="1"/>
    <xf numFmtId="0" fontId="3" fillId="0" borderId="21" xfId="45" applyBorder="1"/>
    <xf numFmtId="0" fontId="5" fillId="35" borderId="22" xfId="45" applyFont="1" applyFill="1" applyBorder="1" applyAlignment="1">
      <alignment horizontal="center"/>
    </xf>
    <xf numFmtId="0" fontId="0" fillId="35" borderId="0" xfId="0" applyFill="1"/>
    <xf numFmtId="0" fontId="2" fillId="35" borderId="0" xfId="0" applyFont="1" applyFill="1"/>
    <xf numFmtId="0" fontId="0" fillId="0" borderId="0" xfId="0" applyBorder="1" applyProtection="1">
      <protection hidden="1"/>
    </xf>
    <xf numFmtId="0" fontId="0" fillId="0" borderId="0" xfId="0" applyProtection="1">
      <protection hidden="1"/>
    </xf>
    <xf numFmtId="0" fontId="0" fillId="0" borderId="14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1" fillId="0" borderId="0" xfId="0" applyFont="1" applyBorder="1" applyProtection="1">
      <protection hidden="1"/>
    </xf>
    <xf numFmtId="0" fontId="24" fillId="2" borderId="0" xfId="0" applyFont="1" applyFill="1" applyBorder="1" applyAlignment="1" applyProtection="1">
      <alignment horizontal="left"/>
      <protection hidden="1"/>
    </xf>
    <xf numFmtId="0" fontId="0" fillId="0" borderId="0" xfId="0" applyFill="1" applyBorder="1" applyProtection="1">
      <protection hidden="1"/>
    </xf>
    <xf numFmtId="0" fontId="0" fillId="0" borderId="18" xfId="0" applyFill="1" applyBorder="1" applyProtection="1">
      <protection hidden="1"/>
    </xf>
    <xf numFmtId="0" fontId="5" fillId="0" borderId="0" xfId="1" applyFont="1" applyFill="1" applyBorder="1" applyAlignment="1" applyProtection="1">
      <alignment horizontal="right"/>
      <protection hidden="1"/>
    </xf>
    <xf numFmtId="0" fontId="3" fillId="0" borderId="0" xfId="1" applyFont="1" applyFill="1" applyBorder="1" applyAlignment="1" applyProtection="1">
      <alignment horizontal="left"/>
      <protection hidden="1"/>
    </xf>
    <xf numFmtId="0" fontId="5" fillId="0" borderId="5" xfId="1" applyFont="1" applyFill="1" applyBorder="1" applyAlignment="1" applyProtection="1">
      <alignment horizontal="center"/>
      <protection hidden="1"/>
    </xf>
    <xf numFmtId="0" fontId="5" fillId="0" borderId="3" xfId="1" applyFont="1" applyFill="1" applyBorder="1" applyAlignment="1" applyProtection="1">
      <alignment horizontal="center"/>
      <protection hidden="1"/>
    </xf>
    <xf numFmtId="0" fontId="5" fillId="0" borderId="24" xfId="1" applyFont="1" applyFill="1" applyBorder="1" applyAlignment="1" applyProtection="1">
      <alignment horizontal="center"/>
      <protection hidden="1"/>
    </xf>
    <xf numFmtId="0" fontId="3" fillId="0" borderId="18" xfId="1" applyFill="1" applyBorder="1" applyAlignment="1" applyProtection="1">
      <protection hidden="1"/>
    </xf>
    <xf numFmtId="0" fontId="5" fillId="0" borderId="23" xfId="1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Protection="1"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5" fillId="0" borderId="8" xfId="1" applyFont="1" applyFill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horizontal="left"/>
      <protection hidden="1"/>
    </xf>
    <xf numFmtId="0" fontId="25" fillId="0" borderId="8" xfId="0" applyFont="1" applyFill="1" applyBorder="1" applyAlignment="1" applyProtection="1">
      <alignment horizontal="center"/>
      <protection hidden="1"/>
    </xf>
    <xf numFmtId="0" fontId="5" fillId="0" borderId="0" xfId="1" applyFont="1" applyFill="1" applyBorder="1" applyAlignment="1" applyProtection="1">
      <alignment horizontal="center"/>
      <protection hidden="1"/>
    </xf>
    <xf numFmtId="0" fontId="3" fillId="0" borderId="0" xfId="1" applyFill="1" applyBorder="1" applyAlignment="1" applyProtection="1">
      <alignment horizontal="left"/>
      <protection hidden="1"/>
    </xf>
    <xf numFmtId="0" fontId="0" fillId="0" borderId="11" xfId="0" applyFill="1" applyBorder="1" applyProtection="1">
      <protection hidden="1"/>
    </xf>
    <xf numFmtId="0" fontId="0" fillId="0" borderId="19" xfId="0" applyFill="1" applyBorder="1" applyProtection="1">
      <protection hidden="1"/>
    </xf>
    <xf numFmtId="0" fontId="0" fillId="0" borderId="0" xfId="0" applyFill="1" applyProtection="1">
      <protection hidden="1"/>
    </xf>
    <xf numFmtId="0" fontId="0" fillId="0" borderId="17" xfId="0" applyFill="1" applyBorder="1" applyProtection="1">
      <protection hidden="1"/>
    </xf>
    <xf numFmtId="0" fontId="0" fillId="0" borderId="23" xfId="0" applyFill="1" applyBorder="1" applyProtection="1">
      <protection hidden="1"/>
    </xf>
    <xf numFmtId="0" fontId="24" fillId="0" borderId="11" xfId="0" applyFont="1" applyFill="1" applyBorder="1" applyAlignment="1" applyProtection="1">
      <alignment horizontal="center"/>
      <protection hidden="1"/>
    </xf>
    <xf numFmtId="0" fontId="24" fillId="0" borderId="19" xfId="0" applyFont="1" applyFill="1" applyBorder="1" applyAlignment="1" applyProtection="1">
      <alignment horizontal="center"/>
      <protection hidden="1"/>
    </xf>
    <xf numFmtId="0" fontId="0" fillId="0" borderId="8" xfId="0" applyFill="1" applyBorder="1" applyProtection="1">
      <protection hidden="1"/>
    </xf>
    <xf numFmtId="0" fontId="0" fillId="0" borderId="26" xfId="0" applyFill="1" applyBorder="1" applyProtection="1">
      <protection hidden="1"/>
    </xf>
    <xf numFmtId="0" fontId="0" fillId="0" borderId="27" xfId="0" applyFill="1" applyBorder="1" applyProtection="1">
      <protection hidden="1"/>
    </xf>
    <xf numFmtId="0" fontId="5" fillId="0" borderId="1" xfId="1" applyFont="1" applyFill="1" applyBorder="1" applyAlignment="1" applyProtection="1">
      <alignment horizontal="center"/>
      <protection hidden="1"/>
    </xf>
    <xf numFmtId="0" fontId="3" fillId="0" borderId="0" xfId="1" applyFill="1" applyBorder="1" applyAlignment="1" applyProtection="1">
      <alignment horizontal="center"/>
      <protection hidden="1"/>
    </xf>
    <xf numFmtId="0" fontId="26" fillId="0" borderId="0" xfId="1" applyFont="1" applyFill="1" applyBorder="1" applyAlignment="1" applyProtection="1">
      <protection hidden="1"/>
    </xf>
    <xf numFmtId="0" fontId="3" fillId="0" borderId="19" xfId="1" applyFill="1" applyBorder="1" applyAlignment="1" applyProtection="1">
      <alignment horizontal="center"/>
      <protection hidden="1"/>
    </xf>
    <xf numFmtId="0" fontId="6" fillId="0" borderId="0" xfId="2" applyFill="1" applyBorder="1" applyAlignment="1" applyProtection="1">
      <alignment horizontal="left"/>
      <protection hidden="1"/>
    </xf>
    <xf numFmtId="0" fontId="5" fillId="0" borderId="33" xfId="1" applyFont="1" applyFill="1" applyBorder="1" applyAlignment="1" applyProtection="1">
      <alignment horizontal="center"/>
      <protection hidden="1"/>
    </xf>
    <xf numFmtId="0" fontId="30" fillId="0" borderId="17" xfId="0" applyFont="1" applyBorder="1" applyProtection="1">
      <protection hidden="1"/>
    </xf>
    <xf numFmtId="0" fontId="29" fillId="2" borderId="0" xfId="0" applyFont="1" applyFill="1" applyBorder="1" applyAlignment="1" applyProtection="1">
      <alignment horizontal="left"/>
      <protection hidden="1"/>
    </xf>
    <xf numFmtId="0" fontId="2" fillId="0" borderId="25" xfId="0" applyFont="1" applyFill="1" applyBorder="1" applyAlignment="1" applyProtection="1">
      <alignment horizontal="center"/>
      <protection locked="0"/>
    </xf>
    <xf numFmtId="0" fontId="0" fillId="0" borderId="0" xfId="0" quotePrefix="1"/>
    <xf numFmtId="0" fontId="2" fillId="0" borderId="38" xfId="0" applyFont="1" applyFill="1" applyBorder="1" applyAlignment="1" applyProtection="1">
      <alignment horizontal="center"/>
      <protection locked="0"/>
    </xf>
    <xf numFmtId="0" fontId="30" fillId="0" borderId="0" xfId="0" applyFont="1" applyProtection="1">
      <protection hidden="1"/>
    </xf>
    <xf numFmtId="0" fontId="2" fillId="0" borderId="0" xfId="0" applyFont="1" applyFill="1" applyBorder="1" applyAlignment="1" applyProtection="1">
      <alignment horizontal="left"/>
      <protection hidden="1"/>
    </xf>
    <xf numFmtId="0" fontId="2" fillId="0" borderId="0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5" fillId="0" borderId="0" xfId="0" applyFont="1" applyProtection="1">
      <protection hidden="1"/>
    </xf>
    <xf numFmtId="0" fontId="2" fillId="0" borderId="0" xfId="0" applyFont="1" applyProtection="1">
      <protection hidden="1"/>
    </xf>
    <xf numFmtId="0" fontId="28" fillId="0" borderId="0" xfId="0" applyFont="1" applyProtection="1">
      <protection hidden="1"/>
    </xf>
    <xf numFmtId="0" fontId="26" fillId="0" borderId="0" xfId="0" applyFont="1" applyProtection="1">
      <protection hidden="1"/>
    </xf>
    <xf numFmtId="0" fontId="31" fillId="0" borderId="0" xfId="0" applyFont="1" applyProtection="1">
      <protection hidden="1"/>
    </xf>
    <xf numFmtId="0" fontId="7" fillId="0" borderId="37" xfId="3" applyFont="1" applyFill="1" applyBorder="1"/>
    <xf numFmtId="0" fontId="0" fillId="0" borderId="0" xfId="0" applyAlignment="1">
      <alignment wrapText="1"/>
    </xf>
    <xf numFmtId="0" fontId="32" fillId="0" borderId="0" xfId="0" applyFont="1"/>
    <xf numFmtId="0" fontId="6" fillId="0" borderId="0" xfId="2" applyAlignment="1" applyProtection="1">
      <protection locked="0"/>
    </xf>
    <xf numFmtId="0" fontId="33" fillId="0" borderId="0" xfId="0" applyFont="1"/>
    <xf numFmtId="0" fontId="6" fillId="0" borderId="0" xfId="2" applyAlignment="1" applyProtection="1"/>
    <xf numFmtId="0" fontId="34" fillId="0" borderId="0" xfId="0" applyFont="1"/>
    <xf numFmtId="0" fontId="27" fillId="0" borderId="3" xfId="1" applyFont="1" applyFill="1" applyBorder="1" applyAlignment="1" applyProtection="1">
      <alignment horizontal="center"/>
      <protection hidden="1"/>
    </xf>
    <xf numFmtId="0" fontId="27" fillId="0" borderId="4" xfId="1" applyFont="1" applyFill="1" applyBorder="1" applyAlignment="1" applyProtection="1">
      <alignment horizontal="center"/>
      <protection hidden="1"/>
    </xf>
    <xf numFmtId="0" fontId="27" fillId="0" borderId="3" xfId="1" applyFont="1" applyFill="1" applyBorder="1" applyAlignment="1" applyProtection="1">
      <alignment horizontal="center" vertical="center"/>
      <protection hidden="1"/>
    </xf>
    <xf numFmtId="0" fontId="27" fillId="0" borderId="4" xfId="1" applyFont="1" applyFill="1" applyBorder="1" applyAlignment="1" applyProtection="1">
      <alignment horizontal="center" vertical="center"/>
      <protection hidden="1"/>
    </xf>
    <xf numFmtId="0" fontId="5" fillId="0" borderId="34" xfId="1" applyFont="1" applyFill="1" applyBorder="1" applyAlignment="1" applyProtection="1">
      <alignment horizontal="center" vertical="center"/>
      <protection hidden="1"/>
    </xf>
    <xf numFmtId="0" fontId="5" fillId="0" borderId="20" xfId="1" applyFont="1" applyFill="1" applyBorder="1" applyAlignment="1" applyProtection="1">
      <alignment horizontal="center" vertical="center"/>
      <protection hidden="1"/>
    </xf>
    <xf numFmtId="0" fontId="5" fillId="0" borderId="21" xfId="1" applyFont="1" applyFill="1" applyBorder="1" applyAlignment="1" applyProtection="1">
      <alignment horizontal="center" vertical="center"/>
      <protection hidden="1"/>
    </xf>
    <xf numFmtId="0" fontId="27" fillId="0" borderId="5" xfId="1" applyFont="1" applyFill="1" applyBorder="1" applyAlignment="1" applyProtection="1">
      <alignment horizontal="center" vertical="center"/>
      <protection hidden="1"/>
    </xf>
    <xf numFmtId="0" fontId="27" fillId="0" borderId="7" xfId="1" applyFont="1" applyFill="1" applyBorder="1" applyAlignment="1" applyProtection="1">
      <alignment horizontal="center" vertical="center"/>
      <protection hidden="1"/>
    </xf>
    <xf numFmtId="0" fontId="27" fillId="0" borderId="1" xfId="1" applyFont="1" applyFill="1" applyBorder="1" applyAlignment="1" applyProtection="1">
      <alignment horizontal="center" vertical="center"/>
      <protection hidden="1"/>
    </xf>
    <xf numFmtId="0" fontId="27" fillId="0" borderId="2" xfId="1" applyFont="1" applyFill="1" applyBorder="1" applyAlignment="1" applyProtection="1">
      <alignment horizontal="center" vertical="center"/>
      <protection hidden="1"/>
    </xf>
    <xf numFmtId="0" fontId="27" fillId="0" borderId="5" xfId="1" applyFont="1" applyFill="1" applyBorder="1" applyAlignment="1" applyProtection="1">
      <alignment horizontal="center"/>
      <protection hidden="1"/>
    </xf>
    <xf numFmtId="0" fontId="27" fillId="0" borderId="7" xfId="1" applyFont="1" applyFill="1" applyBorder="1" applyAlignment="1" applyProtection="1">
      <alignment horizontal="center"/>
      <protection hidden="1"/>
    </xf>
    <xf numFmtId="0" fontId="2" fillId="0" borderId="36" xfId="0" applyFont="1" applyFill="1" applyBorder="1" applyAlignment="1" applyProtection="1">
      <alignment horizontal="left"/>
      <protection hidden="1"/>
    </xf>
    <xf numFmtId="0" fontId="2" fillId="0" borderId="37" xfId="0" applyFont="1" applyFill="1" applyBorder="1" applyAlignment="1" applyProtection="1">
      <alignment horizontal="left"/>
      <protection hidden="1"/>
    </xf>
    <xf numFmtId="0" fontId="2" fillId="0" borderId="24" xfId="0" applyFont="1" applyFill="1" applyBorder="1" applyAlignment="1" applyProtection="1">
      <alignment horizontal="left"/>
      <protection hidden="1"/>
    </xf>
    <xf numFmtId="0" fontId="2" fillId="0" borderId="30" xfId="0" applyFont="1" applyFill="1" applyBorder="1" applyAlignment="1" applyProtection="1">
      <alignment horizontal="left"/>
      <protection hidden="1"/>
    </xf>
    <xf numFmtId="0" fontId="5" fillId="0" borderId="30" xfId="1" applyFont="1" applyFill="1" applyBorder="1" applyAlignment="1" applyProtection="1">
      <alignment horizontal="center"/>
      <protection locked="0" hidden="1"/>
    </xf>
    <xf numFmtId="0" fontId="5" fillId="0" borderId="25" xfId="1" applyFont="1" applyFill="1" applyBorder="1" applyAlignment="1" applyProtection="1">
      <alignment horizontal="center"/>
      <protection locked="0" hidden="1"/>
    </xf>
    <xf numFmtId="0" fontId="2" fillId="0" borderId="8" xfId="0" applyFont="1" applyFill="1" applyBorder="1" applyAlignment="1" applyProtection="1">
      <alignment horizontal="left"/>
      <protection hidden="1"/>
    </xf>
    <xf numFmtId="0" fontId="2" fillId="0" borderId="35" xfId="0" applyFont="1" applyFill="1" applyBorder="1" applyAlignment="1" applyProtection="1">
      <alignment horizontal="left"/>
      <protection hidden="1"/>
    </xf>
    <xf numFmtId="0" fontId="27" fillId="22" borderId="5" xfId="1" applyFont="1" applyFill="1" applyBorder="1" applyAlignment="1" applyProtection="1">
      <alignment horizontal="center" vertical="center"/>
      <protection locked="0"/>
    </xf>
    <xf numFmtId="0" fontId="27" fillId="22" borderId="7" xfId="1" applyFont="1" applyFill="1" applyBorder="1" applyAlignment="1" applyProtection="1">
      <alignment horizontal="center" vertical="center"/>
      <protection locked="0"/>
    </xf>
    <xf numFmtId="0" fontId="4" fillId="0" borderId="1" xfId="1" applyFont="1" applyFill="1" applyBorder="1" applyAlignment="1" applyProtection="1">
      <alignment horizontal="center"/>
      <protection hidden="1"/>
    </xf>
    <xf numFmtId="0" fontId="4" fillId="0" borderId="28" xfId="1" applyFont="1" applyFill="1" applyBorder="1" applyAlignment="1" applyProtection="1">
      <alignment horizontal="center"/>
      <protection hidden="1"/>
    </xf>
    <xf numFmtId="0" fontId="4" fillId="0" borderId="2" xfId="1" applyFont="1" applyFill="1" applyBorder="1" applyAlignment="1" applyProtection="1">
      <alignment horizontal="center"/>
      <protection hidden="1"/>
    </xf>
    <xf numFmtId="0" fontId="4" fillId="0" borderId="3" xfId="1" applyFont="1" applyFill="1" applyBorder="1" applyAlignment="1" applyProtection="1">
      <alignment horizontal="center"/>
      <protection hidden="1"/>
    </xf>
    <xf numFmtId="0" fontId="4" fillId="0" borderId="29" xfId="1" applyFont="1" applyFill="1" applyBorder="1" applyAlignment="1" applyProtection="1">
      <alignment horizontal="center"/>
      <protection hidden="1"/>
    </xf>
    <xf numFmtId="0" fontId="4" fillId="0" borderId="4" xfId="1" applyFont="1" applyFill="1" applyBorder="1" applyAlignment="1" applyProtection="1">
      <alignment horizontal="center"/>
      <protection hidden="1"/>
    </xf>
    <xf numFmtId="0" fontId="3" fillId="0" borderId="28" xfId="1" applyFill="1" applyBorder="1" applyAlignment="1" applyProtection="1">
      <alignment horizontal="center"/>
      <protection locked="0"/>
    </xf>
    <xf numFmtId="0" fontId="3" fillId="0" borderId="2" xfId="1" applyFill="1" applyBorder="1" applyAlignment="1" applyProtection="1">
      <alignment horizontal="center"/>
      <protection locked="0"/>
    </xf>
    <xf numFmtId="0" fontId="6" fillId="0" borderId="6" xfId="2" applyFill="1" applyBorder="1" applyAlignment="1" applyProtection="1">
      <alignment horizontal="center"/>
      <protection locked="0"/>
    </xf>
    <xf numFmtId="0" fontId="6" fillId="0" borderId="7" xfId="2" applyFill="1" applyBorder="1" applyAlignment="1" applyProtection="1">
      <alignment horizontal="center"/>
      <protection locked="0"/>
    </xf>
    <xf numFmtId="0" fontId="3" fillId="0" borderId="29" xfId="1" applyFill="1" applyBorder="1" applyAlignment="1" applyProtection="1">
      <alignment horizontal="center"/>
      <protection locked="0"/>
    </xf>
    <xf numFmtId="0" fontId="3" fillId="0" borderId="4" xfId="1" applyFill="1" applyBorder="1" applyAlignment="1" applyProtection="1">
      <alignment horizontal="center"/>
      <protection locked="0"/>
    </xf>
    <xf numFmtId="0" fontId="3" fillId="0" borderId="30" xfId="1" applyFill="1" applyBorder="1" applyAlignment="1" applyProtection="1">
      <alignment horizontal="center"/>
      <protection locked="0"/>
    </xf>
    <xf numFmtId="0" fontId="3" fillId="0" borderId="25" xfId="1" applyFill="1" applyBorder="1" applyAlignment="1" applyProtection="1">
      <alignment horizontal="center"/>
      <protection locked="0"/>
    </xf>
    <xf numFmtId="0" fontId="3" fillId="0" borderId="30" xfId="1" applyFill="1" applyBorder="1" applyAlignment="1" applyProtection="1">
      <alignment horizontal="center"/>
      <protection hidden="1"/>
    </xf>
    <xf numFmtId="0" fontId="3" fillId="0" borderId="25" xfId="1" applyFill="1" applyBorder="1" applyAlignment="1" applyProtection="1">
      <alignment horizontal="center"/>
      <protection hidden="1"/>
    </xf>
    <xf numFmtId="0" fontId="3" fillId="0" borderId="24" xfId="1" applyFill="1" applyBorder="1" applyAlignment="1" applyProtection="1">
      <alignment horizontal="center"/>
      <protection locked="0"/>
    </xf>
    <xf numFmtId="0" fontId="3" fillId="0" borderId="31" xfId="1" applyFill="1" applyBorder="1" applyAlignment="1" applyProtection="1">
      <alignment horizontal="center"/>
      <protection locked="0"/>
    </xf>
    <xf numFmtId="0" fontId="3" fillId="0" borderId="32" xfId="1" applyFill="1" applyBorder="1" applyAlignment="1" applyProtection="1">
      <alignment horizontal="center"/>
      <protection locked="0"/>
    </xf>
    <xf numFmtId="0" fontId="27" fillId="0" borderId="1" xfId="1" applyFont="1" applyFill="1" applyBorder="1" applyAlignment="1" applyProtection="1">
      <alignment horizontal="center"/>
      <protection hidden="1"/>
    </xf>
    <xf numFmtId="0" fontId="27" fillId="0" borderId="2" xfId="1" applyFont="1" applyFill="1" applyBorder="1" applyAlignment="1" applyProtection="1">
      <alignment horizontal="center"/>
      <protection hidden="1"/>
    </xf>
  </cellXfs>
  <cellStyles count="46">
    <cellStyle name="20% - Accent1 2" xfId="4"/>
    <cellStyle name="20% - Accent2 2" xfId="5"/>
    <cellStyle name="20% - Accent3 2" xfId="6"/>
    <cellStyle name="20% - Accent4 2" xfId="7"/>
    <cellStyle name="20% - Accent5 2" xfId="8"/>
    <cellStyle name="20% - Accent6 2" xfId="9"/>
    <cellStyle name="40% - Accent1 2" xfId="10"/>
    <cellStyle name="40% - Accent2 2" xfId="11"/>
    <cellStyle name="40% - Accent3 2" xfId="12"/>
    <cellStyle name="40% - Accent4 2" xfId="13"/>
    <cellStyle name="40% - Accent5 2" xfId="14"/>
    <cellStyle name="40% - Accent6 2" xfId="15"/>
    <cellStyle name="60% - Accent1 2" xfId="16"/>
    <cellStyle name="60% - Accent2 2" xfId="17"/>
    <cellStyle name="60% - Accent3 2" xfId="18"/>
    <cellStyle name="60% - Accent4 2" xfId="19"/>
    <cellStyle name="60% - Accent5 2" xfId="20"/>
    <cellStyle name="60% - Accent6 2" xfId="21"/>
    <cellStyle name="Accent1 2" xfId="22"/>
    <cellStyle name="Accent2 2" xfId="23"/>
    <cellStyle name="Accent3 2" xfId="24"/>
    <cellStyle name="Accent4 2" xfId="25"/>
    <cellStyle name="Accent5 2" xfId="26"/>
    <cellStyle name="Accent6 2" xfId="27"/>
    <cellStyle name="Bad 2" xfId="28"/>
    <cellStyle name="Calculation 2" xfId="29"/>
    <cellStyle name="Check Cell 2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Hyperlink" xfId="2" builtinId="8"/>
    <cellStyle name="Input 2" xfId="37"/>
    <cellStyle name="Linked Cell 2" xfId="38"/>
    <cellStyle name="Neutral 2" xfId="39"/>
    <cellStyle name="Normal" xfId="0" builtinId="0"/>
    <cellStyle name="Normal 2" xfId="1"/>
    <cellStyle name="Normal 3" xfId="3"/>
    <cellStyle name="Normal_Sheet6" xfId="45"/>
    <cellStyle name="Note 2" xfId="40"/>
    <cellStyle name="Output 2" xfId="41"/>
    <cellStyle name="Title 2" xfId="42"/>
    <cellStyle name="Total 2" xfId="43"/>
    <cellStyle name="Warning Text 2" xfId="44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57150</xdr:rowOff>
    </xdr:from>
    <xdr:to>
      <xdr:col>5</xdr:col>
      <xdr:colOff>0</xdr:colOff>
      <xdr:row>5</xdr:row>
      <xdr:rowOff>104775</xdr:rowOff>
    </xdr:to>
    <xdr:pic>
      <xdr:nvPicPr>
        <xdr:cNvPr id="2" name="Picture 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43025" y="447675"/>
          <a:ext cx="4257675" cy="619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SSBEurope@sterlingbackcheck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SRoss3@StateStreet.com" TargetMode="External"/><Relationship Id="rId2" Type="http://schemas.openxmlformats.org/officeDocument/2006/relationships/hyperlink" Target="https://secure.sterlingdirect.com/sys/settings/UserManager.aspx?USERID=0MP%2fV8vOX%2f%2fxYajy7J8Fqg%3d%3d" TargetMode="External"/><Relationship Id="rId1" Type="http://schemas.openxmlformats.org/officeDocument/2006/relationships/hyperlink" Target="mailto:dpatel5@statestree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6"/>
  <sheetViews>
    <sheetView workbookViewId="0">
      <selection activeCell="B12" sqref="B12"/>
    </sheetView>
  </sheetViews>
  <sheetFormatPr defaultRowHeight="15" x14ac:dyDescent="0.25"/>
  <cols>
    <col min="1" max="1" width="14.7109375" bestFit="1" customWidth="1"/>
  </cols>
  <sheetData>
    <row r="1" spans="1:2" x14ac:dyDescent="0.25">
      <c r="A1" t="s">
        <v>441</v>
      </c>
      <c r="B1" t="s">
        <v>641</v>
      </c>
    </row>
    <row r="2" spans="1:2" x14ac:dyDescent="0.25">
      <c r="A2" t="s">
        <v>445</v>
      </c>
      <c r="B2" t="s">
        <v>642</v>
      </c>
    </row>
    <row r="3" spans="1:2" x14ac:dyDescent="0.25">
      <c r="A3" t="s">
        <v>448</v>
      </c>
      <c r="B3" t="s">
        <v>642</v>
      </c>
    </row>
    <row r="4" spans="1:2" x14ac:dyDescent="0.25">
      <c r="A4" t="s">
        <v>15</v>
      </c>
      <c r="B4" s="70" t="s">
        <v>728</v>
      </c>
    </row>
    <row r="5" spans="1:2" x14ac:dyDescent="0.25">
      <c r="A5" t="s">
        <v>638</v>
      </c>
      <c r="B5" t="s">
        <v>643</v>
      </c>
    </row>
    <row r="6" spans="1:2" x14ac:dyDescent="0.25">
      <c r="A6" t="s">
        <v>649</v>
      </c>
      <c r="B6" t="s">
        <v>650</v>
      </c>
    </row>
  </sheetData>
  <hyperlinks>
    <hyperlink ref="B4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60"/>
  <sheetViews>
    <sheetView showGridLines="0" tabSelected="1" workbookViewId="0">
      <selection activeCell="E28" sqref="E28:F28"/>
    </sheetView>
  </sheetViews>
  <sheetFormatPr defaultRowHeight="15" x14ac:dyDescent="0.25"/>
  <cols>
    <col min="1" max="1" width="1.7109375" style="11" customWidth="1"/>
    <col min="2" max="2" width="9.28515625" style="37" customWidth="1"/>
    <col min="3" max="3" width="2" style="37" customWidth="1"/>
    <col min="4" max="4" width="15.28515625" style="37" bestFit="1" customWidth="1"/>
    <col min="5" max="5" width="48.7109375" style="37" customWidth="1"/>
    <col min="6" max="6" width="14.28515625" style="37" customWidth="1"/>
    <col min="7" max="16384" width="9.140625" style="11"/>
  </cols>
  <sheetData>
    <row r="1" spans="2:13" ht="15.75" thickBot="1" x14ac:dyDescent="0.3">
      <c r="B1" s="10"/>
      <c r="C1" s="10"/>
      <c r="D1" s="10"/>
      <c r="E1" s="10"/>
      <c r="F1" s="10"/>
      <c r="G1" s="10"/>
      <c r="H1" s="10"/>
    </row>
    <row r="2" spans="2:13" x14ac:dyDescent="0.25">
      <c r="B2" s="12"/>
      <c r="C2" s="13"/>
      <c r="D2" s="13"/>
      <c r="E2" s="13"/>
      <c r="F2" s="13"/>
      <c r="G2" s="13"/>
      <c r="H2" s="14"/>
    </row>
    <row r="3" spans="2:13" x14ac:dyDescent="0.25">
      <c r="B3" s="15"/>
      <c r="C3" s="10"/>
      <c r="D3" s="10"/>
      <c r="E3" s="10"/>
      <c r="F3" s="10"/>
      <c r="G3" s="10"/>
      <c r="H3" s="16"/>
    </row>
    <row r="4" spans="2:13" x14ac:dyDescent="0.25">
      <c r="B4" s="15"/>
      <c r="C4" s="10"/>
      <c r="D4" s="10"/>
      <c r="E4" s="10"/>
      <c r="F4" s="10"/>
      <c r="G4" s="10"/>
      <c r="H4" s="16"/>
    </row>
    <row r="5" spans="2:13" x14ac:dyDescent="0.25">
      <c r="B5" s="15"/>
      <c r="C5" s="10"/>
      <c r="D5" s="10"/>
      <c r="E5" s="10"/>
      <c r="F5" s="10"/>
      <c r="G5" s="10"/>
      <c r="H5" s="16"/>
    </row>
    <row r="6" spans="2:13" ht="15.75" thickBot="1" x14ac:dyDescent="0.3">
      <c r="B6" s="15"/>
      <c r="C6" s="10"/>
      <c r="D6" s="10"/>
      <c r="E6" s="10"/>
      <c r="F6" s="10"/>
      <c r="G6" s="10"/>
      <c r="H6" s="16"/>
    </row>
    <row r="7" spans="2:13" ht="15.75" x14ac:dyDescent="0.25">
      <c r="B7" s="15"/>
      <c r="C7" s="10"/>
      <c r="D7" s="95" t="s">
        <v>0</v>
      </c>
      <c r="E7" s="96"/>
      <c r="F7" s="97"/>
      <c r="G7" s="19"/>
      <c r="H7" s="20"/>
    </row>
    <row r="8" spans="2:13" ht="16.5" thickBot="1" x14ac:dyDescent="0.3">
      <c r="B8" s="15"/>
      <c r="C8" s="10"/>
      <c r="D8" s="98" t="s">
        <v>58</v>
      </c>
      <c r="E8" s="99"/>
      <c r="F8" s="100"/>
      <c r="G8" s="19"/>
      <c r="H8" s="20"/>
    </row>
    <row r="9" spans="2:13" ht="9" customHeight="1" x14ac:dyDescent="0.25">
      <c r="B9" s="15"/>
      <c r="C9" s="10"/>
      <c r="D9" s="19"/>
      <c r="E9" s="19"/>
      <c r="F9" s="19"/>
      <c r="G9" s="19"/>
      <c r="H9" s="20"/>
    </row>
    <row r="10" spans="2:13" x14ac:dyDescent="0.25">
      <c r="B10" s="15"/>
      <c r="C10" s="10"/>
      <c r="D10" s="21" t="s">
        <v>1</v>
      </c>
      <c r="E10" s="22" t="s">
        <v>2</v>
      </c>
      <c r="F10" s="22"/>
      <c r="G10" s="19"/>
      <c r="H10" s="20"/>
    </row>
    <row r="11" spans="2:13" hidden="1" x14ac:dyDescent="0.25">
      <c r="B11" s="51" t="b">
        <f>"North America"=E19</f>
        <v>0</v>
      </c>
      <c r="C11" s="10"/>
      <c r="D11" s="21" t="s">
        <v>3</v>
      </c>
      <c r="E11" s="49" t="str">
        <f>IFERROR(VLOOKUP(E22,Sheet1!A:B,2,0),"")</f>
        <v/>
      </c>
      <c r="F11" s="49"/>
      <c r="G11" s="19"/>
      <c r="H11" s="20"/>
    </row>
    <row r="12" spans="2:13" x14ac:dyDescent="0.25">
      <c r="B12" s="51"/>
      <c r="C12" s="10"/>
      <c r="D12" s="21" t="s">
        <v>3</v>
      </c>
      <c r="E12" s="49" t="str">
        <f>IFERROR(VLOOKUP(E19,Sheet1!A:B,2,0),"")</f>
        <v>StateStreetIntl@sterlingbackcheck.com</v>
      </c>
      <c r="F12" s="22"/>
      <c r="G12" s="19"/>
      <c r="H12" s="20"/>
    </row>
    <row r="13" spans="2:13" ht="9" customHeight="1" thickBot="1" x14ac:dyDescent="0.3">
      <c r="B13" s="15"/>
      <c r="C13" s="10"/>
      <c r="D13" s="19"/>
      <c r="E13" s="49"/>
      <c r="F13" s="19"/>
      <c r="G13" s="19"/>
      <c r="H13" s="20"/>
    </row>
    <row r="14" spans="2:13" x14ac:dyDescent="0.25">
      <c r="B14" s="51" t="b">
        <f>E14="**No Name found**"</f>
        <v>0</v>
      </c>
      <c r="C14" s="10"/>
      <c r="D14" s="45" t="s">
        <v>572</v>
      </c>
      <c r="E14" s="101" t="s">
        <v>757</v>
      </c>
      <c r="F14" s="102"/>
      <c r="G14" s="19"/>
      <c r="H14" s="20"/>
    </row>
    <row r="15" spans="2:13" ht="15" hidden="1" customHeight="1" x14ac:dyDescent="0.25">
      <c r="B15" s="51"/>
      <c r="C15" s="10"/>
      <c r="D15" s="23" t="s">
        <v>610</v>
      </c>
      <c r="E15" s="112" t="s">
        <v>612</v>
      </c>
      <c r="F15" s="113"/>
      <c r="G15" s="19"/>
      <c r="H15" s="20"/>
    </row>
    <row r="16" spans="2:13" x14ac:dyDescent="0.25">
      <c r="B16" s="51"/>
      <c r="C16" s="10"/>
      <c r="D16" s="23" t="s">
        <v>4</v>
      </c>
      <c r="E16" s="103" t="s">
        <v>759</v>
      </c>
      <c r="F16" s="104"/>
      <c r="G16" s="19"/>
      <c r="H16" s="20"/>
      <c r="M16" s="56" t="str">
        <f>IFERROR(VLOOKUP(E14,Users!A:C,3,0),"")</f>
        <v>Mwixson@statestreet.com</v>
      </c>
    </row>
    <row r="17" spans="2:13" ht="15.75" thickBot="1" x14ac:dyDescent="0.3">
      <c r="B17" s="51"/>
      <c r="C17" s="10"/>
      <c r="D17" s="24" t="s">
        <v>576</v>
      </c>
      <c r="E17" s="105" t="s">
        <v>758</v>
      </c>
      <c r="F17" s="106"/>
      <c r="G17" s="19"/>
      <c r="H17" s="20"/>
      <c r="M17" s="56" t="str">
        <f>IFERROR(VLOOKUP(E14,Users!A:C,2,0),"")</f>
        <v>micwixson</v>
      </c>
    </row>
    <row r="18" spans="2:13" ht="9" customHeight="1" thickBot="1" x14ac:dyDescent="0.3">
      <c r="B18" s="51"/>
      <c r="C18" s="10"/>
      <c r="D18" s="19"/>
      <c r="E18" s="19"/>
      <c r="F18" s="19"/>
      <c r="G18" s="19"/>
      <c r="H18" s="20"/>
    </row>
    <row r="19" spans="2:13" ht="15.75" thickBot="1" x14ac:dyDescent="0.3">
      <c r="B19" s="51"/>
      <c r="C19" s="10"/>
      <c r="D19" s="25" t="s">
        <v>573</v>
      </c>
      <c r="E19" s="107" t="s">
        <v>638</v>
      </c>
      <c r="F19" s="108"/>
      <c r="G19" s="47" t="s">
        <v>611</v>
      </c>
      <c r="H19" s="26"/>
    </row>
    <row r="20" spans="2:13" ht="15.75" hidden="1" thickBot="1" x14ac:dyDescent="0.3">
      <c r="B20" s="51"/>
      <c r="C20" s="17"/>
      <c r="D20" s="27" t="s">
        <v>5</v>
      </c>
      <c r="E20" s="48" t="str">
        <f>VLOOKUP(E19,Sheet2!A:C,3,0)</f>
        <v>State_Street_Corporation___ASIAPAC</v>
      </c>
      <c r="F20" s="46"/>
      <c r="G20" s="28"/>
      <c r="H20" s="20"/>
    </row>
    <row r="21" spans="2:13" ht="9.75" customHeight="1" thickBot="1" x14ac:dyDescent="0.3">
      <c r="B21" s="51"/>
      <c r="C21" s="17"/>
      <c r="D21" s="19"/>
      <c r="E21" s="29"/>
      <c r="F21" s="29"/>
      <c r="G21" s="28"/>
      <c r="H21" s="20"/>
    </row>
    <row r="22" spans="2:13" ht="15.75" thickBot="1" x14ac:dyDescent="0.3">
      <c r="B22" s="51"/>
      <c r="C22" s="10"/>
      <c r="D22" s="25" t="s">
        <v>574</v>
      </c>
      <c r="E22" s="107" t="s">
        <v>455</v>
      </c>
      <c r="F22" s="108"/>
      <c r="G22" s="47" t="s">
        <v>611</v>
      </c>
      <c r="H22" s="26"/>
    </row>
    <row r="23" spans="2:13" ht="9.75" customHeight="1" thickBot="1" x14ac:dyDescent="0.3">
      <c r="B23" s="51"/>
      <c r="C23" s="17"/>
      <c r="D23" s="19"/>
      <c r="E23" s="29"/>
      <c r="F23" s="29"/>
      <c r="G23" s="28"/>
      <c r="H23" s="20"/>
    </row>
    <row r="24" spans="2:13" ht="15.75" thickBot="1" x14ac:dyDescent="0.3">
      <c r="B24" s="51"/>
      <c r="C24" s="10"/>
      <c r="D24" s="25" t="s">
        <v>575</v>
      </c>
      <c r="E24" s="107" t="s">
        <v>62</v>
      </c>
      <c r="F24" s="108"/>
      <c r="G24" s="47" t="s">
        <v>611</v>
      </c>
      <c r="H24" s="26"/>
    </row>
    <row r="25" spans="2:13" ht="9.75" customHeight="1" thickBot="1" x14ac:dyDescent="0.3">
      <c r="B25" s="51"/>
      <c r="C25" s="10"/>
      <c r="D25" s="19"/>
      <c r="E25" s="29"/>
      <c r="F25" s="29"/>
      <c r="G25" s="28"/>
      <c r="H25" s="20"/>
    </row>
    <row r="26" spans="2:13" ht="15.75" thickBot="1" x14ac:dyDescent="0.3">
      <c r="B26" s="51"/>
      <c r="C26" s="10"/>
      <c r="D26" s="25" t="s">
        <v>63</v>
      </c>
      <c r="E26" s="109" t="str">
        <f>IF(("State Street Corporation - "&amp;E22&amp;" "&amp;E24)="State Street Corporation -  ","State Street Corporation",("State Street Corporation - "&amp;E22&amp;" "&amp;E24))</f>
        <v>State Street Corporation - India Contingent</v>
      </c>
      <c r="F26" s="110"/>
      <c r="G26" s="28"/>
      <c r="H26" s="20"/>
    </row>
    <row r="27" spans="2:13" ht="9.75" customHeight="1" thickBot="1" x14ac:dyDescent="0.3">
      <c r="B27" s="51"/>
      <c r="C27" s="10"/>
      <c r="D27" s="19"/>
      <c r="E27" s="29"/>
      <c r="F27" s="29"/>
      <c r="G27" s="28"/>
      <c r="H27" s="20"/>
    </row>
    <row r="28" spans="2:13" ht="15.75" thickBot="1" x14ac:dyDescent="0.3">
      <c r="B28" s="51"/>
      <c r="C28" s="10"/>
      <c r="D28" s="30" t="s">
        <v>613</v>
      </c>
      <c r="E28" s="111" t="s">
        <v>681</v>
      </c>
      <c r="F28" s="108"/>
      <c r="G28" s="47" t="s">
        <v>611</v>
      </c>
      <c r="H28" s="20"/>
    </row>
    <row r="29" spans="2:13" ht="13.5" customHeight="1" thickBot="1" x14ac:dyDescent="0.3">
      <c r="B29" s="51"/>
      <c r="C29" s="10"/>
      <c r="D29" s="11"/>
      <c r="E29" s="11"/>
      <c r="F29" s="11"/>
      <c r="G29" s="47"/>
      <c r="H29" s="20"/>
    </row>
    <row r="30" spans="2:13" ht="15" customHeight="1" thickBot="1" x14ac:dyDescent="0.3">
      <c r="B30" s="51" t="b">
        <f ca="1">ISNUMBER(MATCH("Employment Verification - Int.",E46:E58,ISNUMBER(MATCH("Employment Verification",E46:E58,0))))</f>
        <v>1</v>
      </c>
      <c r="C30" s="52"/>
      <c r="D30" s="91" t="s">
        <v>614</v>
      </c>
      <c r="E30" s="92"/>
      <c r="F30" s="53" t="s">
        <v>729</v>
      </c>
      <c r="G30" s="47" t="s">
        <v>611</v>
      </c>
      <c r="H30" s="20"/>
    </row>
    <row r="31" spans="2:13" ht="15" hidden="1" customHeight="1" thickBot="1" x14ac:dyDescent="0.3">
      <c r="B31" s="51" t="b">
        <f>E28="United Kingdom-FCA Standard Permanent Wo"</f>
        <v>0</v>
      </c>
      <c r="C31" s="52"/>
      <c r="D31" s="85" t="s">
        <v>615</v>
      </c>
      <c r="E31" s="86"/>
      <c r="F31" s="55"/>
      <c r="G31" s="47" t="s">
        <v>611</v>
      </c>
      <c r="H31" s="20"/>
    </row>
    <row r="32" spans="2:13" ht="15" hidden="1" customHeight="1" thickBot="1" x14ac:dyDescent="0.3">
      <c r="B32" s="51" t="b">
        <f>E28="United Kingdom-FCA Standard Permanent Wo"</f>
        <v>0</v>
      </c>
      <c r="C32" s="52"/>
      <c r="D32" s="87" t="s">
        <v>616</v>
      </c>
      <c r="E32" s="88"/>
      <c r="F32" s="53"/>
      <c r="G32" s="47" t="s">
        <v>611</v>
      </c>
      <c r="H32" s="20"/>
    </row>
    <row r="33" spans="2:8" ht="15" customHeight="1" thickBot="1" x14ac:dyDescent="0.3">
      <c r="B33" s="51"/>
      <c r="C33" s="52"/>
      <c r="D33" s="57"/>
      <c r="E33" s="57"/>
      <c r="F33" s="58"/>
      <c r="G33" s="47"/>
      <c r="H33" s="20"/>
    </row>
    <row r="34" spans="2:8" ht="15" customHeight="1" thickBot="1" x14ac:dyDescent="0.3">
      <c r="B34" s="51"/>
      <c r="C34" s="52"/>
      <c r="D34" s="25" t="s">
        <v>633</v>
      </c>
      <c r="E34" s="89"/>
      <c r="F34" s="90"/>
      <c r="G34" s="47"/>
      <c r="H34" s="20"/>
    </row>
    <row r="35" spans="2:8" x14ac:dyDescent="0.25">
      <c r="B35" s="15"/>
      <c r="C35" s="18" t="s">
        <v>571</v>
      </c>
      <c r="D35" s="31"/>
      <c r="E35" s="19"/>
      <c r="F35" s="19"/>
      <c r="G35" s="19"/>
      <c r="H35" s="20"/>
    </row>
    <row r="36" spans="2:8" ht="15.75" thickBot="1" x14ac:dyDescent="0.3">
      <c r="B36" s="15"/>
      <c r="C36" s="18"/>
      <c r="D36" s="19"/>
      <c r="E36" s="19"/>
      <c r="F36" s="19"/>
      <c r="G36" s="19"/>
      <c r="H36" s="20"/>
    </row>
    <row r="37" spans="2:8" ht="5.25" customHeight="1" thickBot="1" x14ac:dyDescent="0.3">
      <c r="B37" s="42"/>
      <c r="C37" s="43"/>
      <c r="D37" s="43"/>
      <c r="E37" s="43"/>
      <c r="F37" s="43"/>
      <c r="G37" s="43"/>
      <c r="H37" s="44"/>
    </row>
    <row r="38" spans="2:8" ht="15.75" thickBot="1" x14ac:dyDescent="0.3">
      <c r="B38" s="39"/>
      <c r="C38" s="40"/>
      <c r="D38" s="40"/>
      <c r="E38" s="40" t="s">
        <v>569</v>
      </c>
      <c r="F38" s="40"/>
      <c r="G38" s="40"/>
      <c r="H38" s="41"/>
    </row>
    <row r="39" spans="2:8" ht="15.75" thickBot="1" x14ac:dyDescent="0.3">
      <c r="B39" s="38"/>
      <c r="C39" s="19"/>
      <c r="D39" s="19"/>
      <c r="E39" s="19"/>
      <c r="F39" s="19"/>
      <c r="G39" s="19"/>
      <c r="H39" s="20"/>
    </row>
    <row r="40" spans="2:8" ht="15.75" thickBot="1" x14ac:dyDescent="0.3">
      <c r="B40" s="38"/>
      <c r="C40" s="19"/>
      <c r="D40" s="32" t="s">
        <v>570</v>
      </c>
      <c r="E40" s="114">
        <v>22890</v>
      </c>
      <c r="F40" s="115"/>
      <c r="G40" s="19"/>
      <c r="H40" s="20"/>
    </row>
    <row r="41" spans="2:8" ht="15.75" thickBot="1" x14ac:dyDescent="0.3">
      <c r="B41" s="38"/>
      <c r="C41" s="19"/>
      <c r="D41" s="27" t="s">
        <v>148</v>
      </c>
      <c r="E41" s="83">
        <f>IFERROR(VLOOKUP(E26,Sheet2!T:U,2,0),"")</f>
        <v>98833</v>
      </c>
      <c r="F41" s="84"/>
      <c r="G41" s="19"/>
      <c r="H41" s="20"/>
    </row>
    <row r="42" spans="2:8" ht="15.75" thickBot="1" x14ac:dyDescent="0.3">
      <c r="B42" s="38"/>
      <c r="C42" s="19"/>
      <c r="D42" s="30" t="s">
        <v>63</v>
      </c>
      <c r="E42" s="83" t="str">
        <f>E26</f>
        <v>State Street Corporation - India Contingent</v>
      </c>
      <c r="F42" s="84"/>
      <c r="G42" s="19"/>
      <c r="H42" s="20"/>
    </row>
    <row r="43" spans="2:8" ht="15.75" thickBot="1" x14ac:dyDescent="0.3">
      <c r="B43" s="38"/>
      <c r="C43" s="19"/>
      <c r="D43" s="50" t="s">
        <v>576</v>
      </c>
      <c r="E43" s="83" t="str">
        <f>E17</f>
        <v>micwixson</v>
      </c>
      <c r="F43" s="84"/>
      <c r="G43" s="19"/>
      <c r="H43" s="20"/>
    </row>
    <row r="44" spans="2:8" ht="15.75" thickBot="1" x14ac:dyDescent="0.3">
      <c r="B44" s="38"/>
      <c r="C44" s="19"/>
      <c r="D44" s="30" t="s">
        <v>149</v>
      </c>
      <c r="E44" s="72" t="str">
        <f>IF(E28=0,"",E28)</f>
        <v>India cont, Standard (ITG, Consultants,</v>
      </c>
      <c r="F44" s="73"/>
      <c r="G44" s="19"/>
      <c r="H44" s="20"/>
    </row>
    <row r="45" spans="2:8" ht="15.75" thickBot="1" x14ac:dyDescent="0.3">
      <c r="B45" s="38"/>
      <c r="C45" s="19"/>
      <c r="D45" s="19"/>
      <c r="E45" s="19"/>
      <c r="F45" s="19"/>
      <c r="G45" s="19"/>
      <c r="H45" s="20"/>
    </row>
    <row r="46" spans="2:8" x14ac:dyDescent="0.25">
      <c r="B46" s="38"/>
      <c r="C46" s="19"/>
      <c r="D46" s="76" t="s">
        <v>440</v>
      </c>
      <c r="E46" s="81" t="str">
        <f ca="1">IFERROR(IF(OFFSET(Services!$B$2,MATCH($E$44,Services!$B$2:$B$3700,0)+0,0)=0,"",OFFSET(Services!$B$2,MATCH($E$44,Services!$B$2:$B$3700,0)+0,0)),"")</f>
        <v>International Criminal Search (INDIA)</v>
      </c>
      <c r="F46" s="82"/>
      <c r="G46" s="19"/>
      <c r="H46" s="20"/>
    </row>
    <row r="47" spans="2:8" x14ac:dyDescent="0.25">
      <c r="B47" s="38"/>
      <c r="C47" s="19"/>
      <c r="D47" s="77"/>
      <c r="E47" s="79" t="str">
        <f ca="1">IFERROR(IF(OFFSET(Services!$B$2,MATCH($E$44,Services!$B$2:$B$3700,0)+1,0)=0,"",OFFSET(Services!$B$2,MATCH($E$44,Services!$B$2:$B$3700,0)+1,0)),"")</f>
        <v>Education Verification - Int.</v>
      </c>
      <c r="F47" s="80"/>
      <c r="G47" s="19"/>
      <c r="H47" s="20"/>
    </row>
    <row r="48" spans="2:8" x14ac:dyDescent="0.25">
      <c r="B48" s="38"/>
      <c r="C48" s="19"/>
      <c r="D48" s="77"/>
      <c r="E48" s="79" t="str">
        <f ca="1">IFERROR(IF(OFFSET(Services!$B$2,MATCH($E$44,Services!$B$2:$B$3700,0)+2,0)=0,"",OFFSET(Services!$B$2,MATCH($E$44,Services!$B$2:$B$3700,0)+2,0)),"")</f>
        <v>Employment Verification - Int.</v>
      </c>
      <c r="F48" s="80"/>
      <c r="G48" s="19"/>
      <c r="H48" s="20"/>
    </row>
    <row r="49" spans="2:8" x14ac:dyDescent="0.25">
      <c r="B49" s="38"/>
      <c r="C49" s="19"/>
      <c r="D49" s="77"/>
      <c r="E49" s="79" t="str">
        <f ca="1">IFERROR(IF(OFFSET(Services!$B$2,MATCH($E$44,Services!$B$2:$B$3700,0)+3,0)=0,"",OFFSET(Services!$B$2,MATCH($E$44,Services!$B$2:$B$3700,0)+3,0)),"")</f>
        <v>Extended Global Sanctions</v>
      </c>
      <c r="F49" s="80"/>
      <c r="G49" s="19"/>
      <c r="H49" s="20"/>
    </row>
    <row r="50" spans="2:8" x14ac:dyDescent="0.25">
      <c r="B50" s="38"/>
      <c r="C50" s="19"/>
      <c r="D50" s="77"/>
      <c r="E50" s="79" t="str">
        <f ca="1">IFERROR(IF(OFFSET(Services!$B$2,MATCH($E$44,Services!$B$2:$B$3700,0)+4,0)=0,"",OFFSET(Services!$B$2,MATCH($E$44,Services!$B$2:$B$3700,0)+4,0)),"")</f>
        <v/>
      </c>
      <c r="F50" s="80"/>
      <c r="G50" s="19"/>
      <c r="H50" s="20"/>
    </row>
    <row r="51" spans="2:8" x14ac:dyDescent="0.25">
      <c r="B51" s="38"/>
      <c r="C51" s="19"/>
      <c r="D51" s="77"/>
      <c r="E51" s="79" t="str">
        <f ca="1">IFERROR(IF(OFFSET(Services!$B$2,MATCH($E$44,Services!$B$2:$B$3700,0)+5,0)=0,"",OFFSET(Services!$B$2,MATCH($E$44,Services!$B$2:$B$3700,0)+5,0)),"")</f>
        <v/>
      </c>
      <c r="F51" s="80"/>
      <c r="G51" s="19"/>
      <c r="H51" s="20"/>
    </row>
    <row r="52" spans="2:8" x14ac:dyDescent="0.25">
      <c r="B52" s="38"/>
      <c r="C52" s="19"/>
      <c r="D52" s="77"/>
      <c r="E52" s="79" t="str">
        <f ca="1">IFERROR(IF(OFFSET(Services!$B$2,MATCH($E$44,Services!$B$2:$B$3700,0)+6,0)=0,"",OFFSET(Services!$B$2,MATCH($E$44,Services!$B$2:$B$3700,0)+6,0)),"")</f>
        <v/>
      </c>
      <c r="F52" s="80"/>
      <c r="G52" s="19"/>
      <c r="H52" s="20"/>
    </row>
    <row r="53" spans="2:8" x14ac:dyDescent="0.25">
      <c r="B53" s="38"/>
      <c r="C53" s="19"/>
      <c r="D53" s="77"/>
      <c r="E53" s="79" t="str">
        <f ca="1">IFERROR(IF(OFFSET(Services!$B$2,MATCH($E$44,Services!$B$2:$B$3700,0)+7,0)=0,"",OFFSET(Services!$B$2,MATCH($E$44,Services!$B$2:$B$3700,0)+7,0)),"")</f>
        <v/>
      </c>
      <c r="F53" s="80"/>
      <c r="G53" s="19"/>
      <c r="H53" s="20"/>
    </row>
    <row r="54" spans="2:8" x14ac:dyDescent="0.25">
      <c r="B54" s="38"/>
      <c r="C54" s="19"/>
      <c r="D54" s="77"/>
      <c r="E54" s="79" t="str">
        <f ca="1">IFERROR(IF(OFFSET(Services!$B$2,MATCH($E$44,Services!$B$2:$B$3700,0)+8,0)=0,"",OFFSET(Services!$B$2,MATCH($E$44,Services!$B$2:$B$3700,0)+8,0)),"")</f>
        <v/>
      </c>
      <c r="F54" s="80"/>
      <c r="G54" s="19"/>
      <c r="H54" s="20"/>
    </row>
    <row r="55" spans="2:8" x14ac:dyDescent="0.25">
      <c r="B55" s="38"/>
      <c r="C55" s="19"/>
      <c r="D55" s="77"/>
      <c r="E55" s="79" t="str">
        <f ca="1">IFERROR(IF(OFFSET(Services!$B$2,MATCH($E$44,Services!$B$2:$B$3700,0)+9,0)=0,"",OFFSET(Services!$B$2,MATCH($E$44,Services!$B$2:$B$3700,0)+9,0)),"")</f>
        <v/>
      </c>
      <c r="F55" s="80"/>
      <c r="G55" s="19"/>
      <c r="H55" s="20"/>
    </row>
    <row r="56" spans="2:8" x14ac:dyDescent="0.25">
      <c r="B56" s="38"/>
      <c r="C56" s="19"/>
      <c r="D56" s="77"/>
      <c r="E56" s="79" t="str">
        <f ca="1">IFERROR(IF(OFFSET(Services!$B$2,MATCH($E$44,Services!$B$2:$B$3700,0)+10,0)=0,"",OFFSET(Services!$B$2,MATCH($E$44,Services!$B$2:$B$3700,0)+10,0)),"")</f>
        <v/>
      </c>
      <c r="F56" s="80"/>
      <c r="G56" s="19"/>
      <c r="H56" s="20"/>
    </row>
    <row r="57" spans="2:8" hidden="1" x14ac:dyDescent="0.25">
      <c r="B57" s="38"/>
      <c r="C57" s="19"/>
      <c r="D57" s="77"/>
      <c r="E57" s="93" t="s">
        <v>744</v>
      </c>
      <c r="F57" s="94"/>
      <c r="G57" s="19"/>
      <c r="H57" s="20"/>
    </row>
    <row r="58" spans="2:8" ht="15.75" thickBot="1" x14ac:dyDescent="0.3">
      <c r="B58" s="38"/>
      <c r="C58" s="19"/>
      <c r="D58" s="78"/>
      <c r="E58" s="74"/>
      <c r="F58" s="75"/>
      <c r="G58" s="19"/>
      <c r="H58" s="20"/>
    </row>
    <row r="59" spans="2:8" hidden="1" x14ac:dyDescent="0.25">
      <c r="B59" s="38"/>
      <c r="C59" s="19"/>
      <c r="D59" s="33" t="s">
        <v>439</v>
      </c>
      <c r="E59" s="34" t="str">
        <f>VLOOKUP(E26,Sheet2!A:B,2,0)</f>
        <v>State_Street_Corporation___India_Contingent</v>
      </c>
      <c r="F59" s="34"/>
      <c r="G59" s="19"/>
      <c r="H59" s="20"/>
    </row>
    <row r="60" spans="2:8" ht="15.75" thickBot="1" x14ac:dyDescent="0.3">
      <c r="B60" s="39"/>
      <c r="C60" s="35"/>
      <c r="D60" s="35"/>
      <c r="E60" s="35"/>
      <c r="F60" s="35"/>
      <c r="G60" s="35"/>
      <c r="H60" s="36"/>
    </row>
  </sheetData>
  <sheetProtection password="CF63" sheet="1" objects="1" scenarios="1"/>
  <mergeCells count="34">
    <mergeCell ref="D30:E30"/>
    <mergeCell ref="E57:F57"/>
    <mergeCell ref="E48:F48"/>
    <mergeCell ref="D7:F7"/>
    <mergeCell ref="D8:F8"/>
    <mergeCell ref="E42:F42"/>
    <mergeCell ref="E14:F14"/>
    <mergeCell ref="E16:F16"/>
    <mergeCell ref="E17:F17"/>
    <mergeCell ref="E19:F19"/>
    <mergeCell ref="E22:F22"/>
    <mergeCell ref="E24:F24"/>
    <mergeCell ref="E26:F26"/>
    <mergeCell ref="E28:F28"/>
    <mergeCell ref="E15:F15"/>
    <mergeCell ref="E40:F40"/>
    <mergeCell ref="E41:F41"/>
    <mergeCell ref="D31:E31"/>
    <mergeCell ref="D32:E32"/>
    <mergeCell ref="E43:F43"/>
    <mergeCell ref="E34:F34"/>
    <mergeCell ref="E44:F44"/>
    <mergeCell ref="E58:F58"/>
    <mergeCell ref="D46:D58"/>
    <mergeCell ref="E50:F50"/>
    <mergeCell ref="E51:F51"/>
    <mergeCell ref="E52:F52"/>
    <mergeCell ref="E53:F53"/>
    <mergeCell ref="E54:F54"/>
    <mergeCell ref="E55:F55"/>
    <mergeCell ref="E49:F49"/>
    <mergeCell ref="E46:F46"/>
    <mergeCell ref="E47:F47"/>
    <mergeCell ref="E56:F56"/>
  </mergeCells>
  <conditionalFormatting sqref="E15">
    <cfRule type="cellIs" dxfId="0" priority="1" operator="equal">
      <formula>"Enter Name here"</formula>
    </cfRule>
  </conditionalFormatting>
  <dataValidations count="7">
    <dataValidation type="list" allowBlank="1" showInputMessage="1" showErrorMessage="1" sqref="E20:F20">
      <formula1>Region</formula1>
    </dataValidation>
    <dataValidation type="list" allowBlank="1" showInputMessage="1" showErrorMessage="1" sqref="E22">
      <formula1>INDIRECT($E$20)</formula1>
    </dataValidation>
    <dataValidation type="list" allowBlank="1" showInputMessage="1" showErrorMessage="1" sqref="E19">
      <formula1>Region1</formula1>
    </dataValidation>
    <dataValidation type="list" allowBlank="1" showInputMessage="1" showErrorMessage="1" sqref="E28">
      <formula1>INDIRECT($E$59)</formula1>
    </dataValidation>
    <dataValidation type="list" allowBlank="1" showInputMessage="1" showErrorMessage="1" sqref="E14">
      <formula1>ContactName</formula1>
    </dataValidation>
    <dataValidation type="list" allowBlank="1" showInputMessage="1" showErrorMessage="1" sqref="F30:F33">
      <formula1>"--,No,Yes"</formula1>
    </dataValidation>
    <dataValidation type="list" allowBlank="1" showInputMessage="1" showErrorMessage="1" sqref="E57:F57">
      <formula1>Singapore</formula1>
    </dataValidation>
  </dataValidations>
  <pageMargins left="0.7" right="0.7" top="0.75" bottom="0.75" header="0.3" footer="0.3"/>
  <pageSetup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Sheet2!$D$12:$D$13</xm:f>
          </x14:formula1>
          <xm:sqref>E24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37"/>
  <sheetViews>
    <sheetView topLeftCell="A40" workbookViewId="0">
      <selection activeCell="E16" sqref="E16"/>
    </sheetView>
  </sheetViews>
  <sheetFormatPr defaultRowHeight="15" x14ac:dyDescent="0.25"/>
  <cols>
    <col min="1" max="1" width="54.5703125" bestFit="1" customWidth="1"/>
    <col min="2" max="2" width="32.42578125" bestFit="1" customWidth="1"/>
    <col min="3" max="3" width="35.140625" bestFit="1" customWidth="1"/>
    <col min="4" max="4" width="10.85546875" bestFit="1" customWidth="1"/>
    <col min="5" max="5" width="36.7109375" bestFit="1" customWidth="1"/>
    <col min="6" max="6" width="47.42578125" bestFit="1" customWidth="1"/>
    <col min="7" max="7" width="32.28515625" bestFit="1" customWidth="1"/>
    <col min="8" max="8" width="33.42578125" bestFit="1" customWidth="1"/>
    <col min="20" max="20" width="54.5703125" bestFit="1" customWidth="1"/>
    <col min="21" max="21" width="7" bestFit="1" customWidth="1"/>
  </cols>
  <sheetData>
    <row r="1" spans="1:21" x14ac:dyDescent="0.25">
      <c r="A1" t="s">
        <v>567</v>
      </c>
      <c r="B1" t="s">
        <v>567</v>
      </c>
      <c r="C1" t="s">
        <v>567</v>
      </c>
      <c r="E1" t="s">
        <v>54</v>
      </c>
      <c r="F1" t="s">
        <v>55</v>
      </c>
      <c r="G1" t="s">
        <v>56</v>
      </c>
      <c r="H1" t="s">
        <v>57</v>
      </c>
      <c r="T1" s="3" t="s">
        <v>65</v>
      </c>
      <c r="U1" s="3" t="s">
        <v>64</v>
      </c>
    </row>
    <row r="2" spans="1:21" x14ac:dyDescent="0.25">
      <c r="A2" t="s">
        <v>6</v>
      </c>
      <c r="B2" t="s">
        <v>7</v>
      </c>
      <c r="C2" t="s">
        <v>54</v>
      </c>
      <c r="E2" s="54" t="s">
        <v>645</v>
      </c>
      <c r="F2" s="54" t="s">
        <v>645</v>
      </c>
      <c r="G2" s="54" t="s">
        <v>645</v>
      </c>
      <c r="H2" s="54" t="s">
        <v>645</v>
      </c>
      <c r="T2" s="2" t="s">
        <v>58</v>
      </c>
      <c r="U2" s="2">
        <v>94517</v>
      </c>
    </row>
    <row r="3" spans="1:21" x14ac:dyDescent="0.25">
      <c r="A3" t="s">
        <v>638</v>
      </c>
      <c r="B3" t="s">
        <v>634</v>
      </c>
      <c r="C3" t="s">
        <v>55</v>
      </c>
      <c r="E3" t="s">
        <v>441</v>
      </c>
      <c r="F3" t="s">
        <v>442</v>
      </c>
      <c r="G3" t="s">
        <v>443</v>
      </c>
      <c r="H3" t="s">
        <v>444</v>
      </c>
      <c r="T3" s="2" t="s">
        <v>7</v>
      </c>
      <c r="U3" s="2">
        <v>94522</v>
      </c>
    </row>
    <row r="4" spans="1:21" x14ac:dyDescent="0.25">
      <c r="A4" t="s">
        <v>15</v>
      </c>
      <c r="B4" t="s">
        <v>9</v>
      </c>
      <c r="C4" t="s">
        <v>56</v>
      </c>
      <c r="E4" t="s">
        <v>448</v>
      </c>
      <c r="F4" t="s">
        <v>446</v>
      </c>
      <c r="G4" t="s">
        <v>447</v>
      </c>
      <c r="H4" t="s">
        <v>451</v>
      </c>
      <c r="T4" s="2" t="s">
        <v>8</v>
      </c>
      <c r="U4" s="2">
        <v>98817</v>
      </c>
    </row>
    <row r="5" spans="1:21" x14ac:dyDescent="0.25">
      <c r="A5" t="s">
        <v>637</v>
      </c>
      <c r="B5" t="s">
        <v>636</v>
      </c>
      <c r="C5" t="s">
        <v>57</v>
      </c>
      <c r="E5" t="s">
        <v>445</v>
      </c>
      <c r="F5" t="s">
        <v>449</v>
      </c>
      <c r="G5" t="s">
        <v>450</v>
      </c>
      <c r="H5" t="s">
        <v>454</v>
      </c>
      <c r="T5" s="2" t="s">
        <v>9</v>
      </c>
      <c r="U5" s="2">
        <v>98574</v>
      </c>
    </row>
    <row r="6" spans="1:21" x14ac:dyDescent="0.25">
      <c r="F6" t="s">
        <v>452</v>
      </c>
      <c r="G6" t="s">
        <v>453</v>
      </c>
      <c r="T6" s="2" t="s">
        <v>10</v>
      </c>
      <c r="U6" s="2">
        <v>98867</v>
      </c>
    </row>
    <row r="7" spans="1:21" x14ac:dyDescent="0.25">
      <c r="A7" s="9" t="s">
        <v>63</v>
      </c>
      <c r="B7" s="9" t="s">
        <v>566</v>
      </c>
      <c r="F7" t="s">
        <v>455</v>
      </c>
      <c r="G7" t="s">
        <v>456</v>
      </c>
      <c r="T7" s="2" t="s">
        <v>11</v>
      </c>
      <c r="U7" s="2">
        <v>94526</v>
      </c>
    </row>
    <row r="8" spans="1:21" x14ac:dyDescent="0.25">
      <c r="A8" t="s">
        <v>112</v>
      </c>
      <c r="B8" t="s">
        <v>525</v>
      </c>
      <c r="F8" t="s">
        <v>457</v>
      </c>
      <c r="G8" t="s">
        <v>458</v>
      </c>
      <c r="T8" s="2" t="s">
        <v>16</v>
      </c>
      <c r="U8" s="2">
        <v>94523</v>
      </c>
    </row>
    <row r="9" spans="1:21" x14ac:dyDescent="0.25">
      <c r="A9" t="s">
        <v>113</v>
      </c>
      <c r="B9" t="s">
        <v>483</v>
      </c>
      <c r="F9" t="s">
        <v>459</v>
      </c>
      <c r="G9" t="s">
        <v>460</v>
      </c>
      <c r="T9" s="2" t="s">
        <v>66</v>
      </c>
      <c r="U9" s="2">
        <v>97345</v>
      </c>
    </row>
    <row r="10" spans="1:21" x14ac:dyDescent="0.25">
      <c r="A10" t="s">
        <v>68</v>
      </c>
      <c r="B10" t="s">
        <v>526</v>
      </c>
      <c r="F10" t="s">
        <v>461</v>
      </c>
      <c r="G10" t="s">
        <v>462</v>
      </c>
      <c r="T10" s="2" t="s">
        <v>67</v>
      </c>
      <c r="U10" s="2">
        <v>97346</v>
      </c>
    </row>
    <row r="11" spans="1:21" x14ac:dyDescent="0.25">
      <c r="A11" t="s">
        <v>69</v>
      </c>
      <c r="B11" t="s">
        <v>484</v>
      </c>
      <c r="F11" t="s">
        <v>463</v>
      </c>
      <c r="G11" t="s">
        <v>464</v>
      </c>
      <c r="T11" s="2" t="s">
        <v>59</v>
      </c>
      <c r="U11" s="2">
        <v>97347</v>
      </c>
    </row>
    <row r="12" spans="1:21" x14ac:dyDescent="0.25">
      <c r="A12" t="s">
        <v>70</v>
      </c>
      <c r="B12" t="s">
        <v>527</v>
      </c>
      <c r="D12" t="s">
        <v>62</v>
      </c>
      <c r="F12" t="s">
        <v>467</v>
      </c>
      <c r="G12" t="s">
        <v>717</v>
      </c>
      <c r="T12" s="2" t="s">
        <v>60</v>
      </c>
      <c r="U12" s="2">
        <v>97348</v>
      </c>
    </row>
    <row r="13" spans="1:21" x14ac:dyDescent="0.25">
      <c r="A13" t="s">
        <v>71</v>
      </c>
      <c r="B13" t="s">
        <v>485</v>
      </c>
      <c r="F13" t="s">
        <v>469</v>
      </c>
      <c r="G13" t="s">
        <v>466</v>
      </c>
      <c r="T13" s="2" t="s">
        <v>68</v>
      </c>
      <c r="U13" s="2">
        <v>98568</v>
      </c>
    </row>
    <row r="14" spans="1:21" x14ac:dyDescent="0.25">
      <c r="A14" t="s">
        <v>140</v>
      </c>
      <c r="B14" t="s">
        <v>528</v>
      </c>
      <c r="D14" t="s">
        <v>61</v>
      </c>
      <c r="F14" t="s">
        <v>471</v>
      </c>
      <c r="G14" t="s">
        <v>468</v>
      </c>
      <c r="T14" s="2" t="s">
        <v>69</v>
      </c>
      <c r="U14" s="2">
        <v>98570</v>
      </c>
    </row>
    <row r="15" spans="1:21" x14ac:dyDescent="0.25">
      <c r="A15" t="s">
        <v>141</v>
      </c>
      <c r="B15" t="s">
        <v>486</v>
      </c>
      <c r="F15" t="s">
        <v>473</v>
      </c>
      <c r="G15" t="s">
        <v>470</v>
      </c>
      <c r="T15" s="2" t="s">
        <v>70</v>
      </c>
      <c r="U15" s="2">
        <v>98671</v>
      </c>
    </row>
    <row r="16" spans="1:21" x14ac:dyDescent="0.25">
      <c r="A16" t="s">
        <v>114</v>
      </c>
      <c r="B16" t="s">
        <v>529</v>
      </c>
      <c r="G16" t="s">
        <v>472</v>
      </c>
      <c r="T16" s="2" t="s">
        <v>71</v>
      </c>
      <c r="U16" s="2">
        <v>98672</v>
      </c>
    </row>
    <row r="17" spans="1:21" x14ac:dyDescent="0.25">
      <c r="A17" t="s">
        <v>115</v>
      </c>
      <c r="B17" t="s">
        <v>487</v>
      </c>
      <c r="G17" t="s">
        <v>474</v>
      </c>
      <c r="T17" s="2" t="s">
        <v>13</v>
      </c>
      <c r="U17" s="2">
        <v>98567</v>
      </c>
    </row>
    <row r="18" spans="1:21" x14ac:dyDescent="0.25">
      <c r="A18" t="s">
        <v>59</v>
      </c>
      <c r="B18" t="s">
        <v>530</v>
      </c>
      <c r="G18" t="s">
        <v>465</v>
      </c>
      <c r="T18" s="2" t="s">
        <v>18</v>
      </c>
      <c r="U18" s="2">
        <v>98572</v>
      </c>
    </row>
    <row r="19" spans="1:21" x14ac:dyDescent="0.25">
      <c r="A19" t="s">
        <v>60</v>
      </c>
      <c r="B19" t="s">
        <v>488</v>
      </c>
      <c r="G19" t="s">
        <v>475</v>
      </c>
      <c r="T19" s="2" t="s">
        <v>21</v>
      </c>
      <c r="U19" s="2">
        <v>98673</v>
      </c>
    </row>
    <row r="20" spans="1:21" x14ac:dyDescent="0.25">
      <c r="A20" t="s">
        <v>142</v>
      </c>
      <c r="B20" t="s">
        <v>531</v>
      </c>
      <c r="G20" t="s">
        <v>476</v>
      </c>
      <c r="T20" s="2" t="s">
        <v>24</v>
      </c>
      <c r="U20" s="2">
        <v>98719</v>
      </c>
    </row>
    <row r="21" spans="1:21" x14ac:dyDescent="0.25">
      <c r="A21" t="s">
        <v>143</v>
      </c>
      <c r="B21" t="s">
        <v>489</v>
      </c>
      <c r="G21" t="s">
        <v>477</v>
      </c>
      <c r="T21" s="2" t="s">
        <v>27</v>
      </c>
      <c r="U21" s="2">
        <v>98681</v>
      </c>
    </row>
    <row r="22" spans="1:21" x14ac:dyDescent="0.25">
      <c r="A22" t="s">
        <v>72</v>
      </c>
      <c r="B22" t="s">
        <v>532</v>
      </c>
      <c r="G22" t="s">
        <v>478</v>
      </c>
      <c r="T22" s="2" t="s">
        <v>29</v>
      </c>
      <c r="U22" s="2">
        <v>98685</v>
      </c>
    </row>
    <row r="23" spans="1:21" x14ac:dyDescent="0.25">
      <c r="A23" t="s">
        <v>73</v>
      </c>
      <c r="B23" t="s">
        <v>490</v>
      </c>
      <c r="E23" s="1"/>
      <c r="G23" t="s">
        <v>479</v>
      </c>
      <c r="T23" s="2" t="s">
        <v>31</v>
      </c>
      <c r="U23" s="2">
        <v>98688</v>
      </c>
    </row>
    <row r="24" spans="1:21" x14ac:dyDescent="0.25">
      <c r="A24" t="s">
        <v>116</v>
      </c>
      <c r="B24" t="s">
        <v>533</v>
      </c>
      <c r="G24" t="s">
        <v>480</v>
      </c>
      <c r="T24" s="2" t="s">
        <v>33</v>
      </c>
      <c r="U24" s="2">
        <v>98782</v>
      </c>
    </row>
    <row r="25" spans="1:21" x14ac:dyDescent="0.25">
      <c r="A25" t="s">
        <v>117</v>
      </c>
      <c r="B25" t="s">
        <v>491</v>
      </c>
      <c r="G25" t="s">
        <v>481</v>
      </c>
      <c r="T25" s="2" t="s">
        <v>35</v>
      </c>
      <c r="U25" s="2">
        <v>98691</v>
      </c>
    </row>
    <row r="26" spans="1:21" x14ac:dyDescent="0.25">
      <c r="A26" t="s">
        <v>144</v>
      </c>
      <c r="B26" t="s">
        <v>492</v>
      </c>
      <c r="G26" t="s">
        <v>482</v>
      </c>
      <c r="T26" s="2" t="s">
        <v>37</v>
      </c>
      <c r="U26" s="2">
        <v>98694</v>
      </c>
    </row>
    <row r="27" spans="1:21" x14ac:dyDescent="0.25">
      <c r="A27" t="s">
        <v>145</v>
      </c>
      <c r="B27" t="s">
        <v>493</v>
      </c>
      <c r="T27" s="2" t="s">
        <v>39</v>
      </c>
      <c r="U27" s="2">
        <v>98789</v>
      </c>
    </row>
    <row r="28" spans="1:21" x14ac:dyDescent="0.25">
      <c r="A28" t="s">
        <v>96</v>
      </c>
      <c r="B28" t="s">
        <v>534</v>
      </c>
      <c r="T28" s="2" t="s">
        <v>41</v>
      </c>
      <c r="U28" s="2">
        <v>98698</v>
      </c>
    </row>
    <row r="29" spans="1:21" x14ac:dyDescent="0.25">
      <c r="A29" t="s">
        <v>97</v>
      </c>
      <c r="B29" t="s">
        <v>494</v>
      </c>
      <c r="T29" s="2" t="s">
        <v>43</v>
      </c>
      <c r="U29" s="2">
        <v>98702</v>
      </c>
    </row>
    <row r="30" spans="1:21" x14ac:dyDescent="0.25">
      <c r="A30" t="s">
        <v>74</v>
      </c>
      <c r="B30" t="s">
        <v>535</v>
      </c>
      <c r="T30" s="2" t="s">
        <v>45</v>
      </c>
      <c r="U30" s="2">
        <v>98792</v>
      </c>
    </row>
    <row r="31" spans="1:21" x14ac:dyDescent="0.25">
      <c r="A31" t="s">
        <v>75</v>
      </c>
      <c r="B31" t="s">
        <v>495</v>
      </c>
      <c r="T31" s="2" t="s">
        <v>46</v>
      </c>
      <c r="U31" s="2">
        <v>98795</v>
      </c>
    </row>
    <row r="32" spans="1:21" x14ac:dyDescent="0.25">
      <c r="A32" t="s">
        <v>76</v>
      </c>
      <c r="B32" t="s">
        <v>536</v>
      </c>
      <c r="T32" s="2" t="s">
        <v>47</v>
      </c>
      <c r="U32" s="2">
        <v>98705</v>
      </c>
    </row>
    <row r="33" spans="1:21" x14ac:dyDescent="0.25">
      <c r="A33" t="s">
        <v>77</v>
      </c>
      <c r="B33" t="s">
        <v>496</v>
      </c>
      <c r="T33" s="2" t="s">
        <v>48</v>
      </c>
      <c r="U33" s="2">
        <v>98798</v>
      </c>
    </row>
    <row r="34" spans="1:21" x14ac:dyDescent="0.25">
      <c r="A34" t="s">
        <v>78</v>
      </c>
      <c r="B34" t="s">
        <v>537</v>
      </c>
      <c r="T34" s="2" t="s">
        <v>49</v>
      </c>
      <c r="U34" s="2">
        <v>98708</v>
      </c>
    </row>
    <row r="35" spans="1:21" x14ac:dyDescent="0.25">
      <c r="A35" t="s">
        <v>79</v>
      </c>
      <c r="B35" t="s">
        <v>497</v>
      </c>
      <c r="T35" s="2" t="s">
        <v>50</v>
      </c>
      <c r="U35" s="2">
        <v>98713</v>
      </c>
    </row>
    <row r="36" spans="1:21" x14ac:dyDescent="0.25">
      <c r="A36" t="s">
        <v>118</v>
      </c>
      <c r="B36" t="s">
        <v>538</v>
      </c>
      <c r="T36" s="2" t="s">
        <v>51</v>
      </c>
      <c r="U36" s="2">
        <v>98716</v>
      </c>
    </row>
    <row r="37" spans="1:21" x14ac:dyDescent="0.25">
      <c r="A37" t="s">
        <v>119</v>
      </c>
      <c r="B37" t="s">
        <v>498</v>
      </c>
      <c r="T37" s="2" t="s">
        <v>52</v>
      </c>
      <c r="U37" s="2">
        <v>98801</v>
      </c>
    </row>
    <row r="38" spans="1:21" x14ac:dyDescent="0.25">
      <c r="A38" t="s">
        <v>120</v>
      </c>
      <c r="B38" t="s">
        <v>539</v>
      </c>
      <c r="T38" s="2" t="s">
        <v>53</v>
      </c>
      <c r="U38" s="2">
        <v>98806</v>
      </c>
    </row>
    <row r="39" spans="1:21" x14ac:dyDescent="0.25">
      <c r="A39" t="s">
        <v>121</v>
      </c>
      <c r="B39" t="s">
        <v>499</v>
      </c>
      <c r="T39" s="2" t="s">
        <v>72</v>
      </c>
      <c r="U39" s="2">
        <v>98674</v>
      </c>
    </row>
    <row r="40" spans="1:21" x14ac:dyDescent="0.25">
      <c r="A40" t="s">
        <v>98</v>
      </c>
      <c r="B40" t="s">
        <v>540</v>
      </c>
      <c r="T40" s="2" t="s">
        <v>73</v>
      </c>
      <c r="U40" s="2">
        <v>98677</v>
      </c>
    </row>
    <row r="41" spans="1:21" x14ac:dyDescent="0.25">
      <c r="A41" t="s">
        <v>99</v>
      </c>
      <c r="B41" t="s">
        <v>500</v>
      </c>
      <c r="T41" s="2" t="s">
        <v>74</v>
      </c>
      <c r="U41" s="2">
        <v>98682</v>
      </c>
    </row>
    <row r="42" spans="1:21" x14ac:dyDescent="0.25">
      <c r="A42" t="s">
        <v>708</v>
      </c>
      <c r="B42" t="s">
        <v>715</v>
      </c>
      <c r="T42" s="2" t="s">
        <v>44</v>
      </c>
      <c r="U42" s="2">
        <v>98864</v>
      </c>
    </row>
    <row r="43" spans="1:21" x14ac:dyDescent="0.25">
      <c r="A43" t="s">
        <v>709</v>
      </c>
      <c r="B43" t="s">
        <v>716</v>
      </c>
      <c r="T43" s="2" t="s">
        <v>112</v>
      </c>
      <c r="U43" s="2">
        <v>98819</v>
      </c>
    </row>
    <row r="44" spans="1:21" x14ac:dyDescent="0.25">
      <c r="A44" t="s">
        <v>150</v>
      </c>
      <c r="B44" t="s">
        <v>542</v>
      </c>
      <c r="T44" s="2" t="s">
        <v>75</v>
      </c>
      <c r="U44" s="2">
        <v>98683</v>
      </c>
    </row>
    <row r="45" spans="1:21" x14ac:dyDescent="0.25">
      <c r="A45" t="s">
        <v>151</v>
      </c>
      <c r="B45" t="s">
        <v>501</v>
      </c>
      <c r="T45" s="2" t="s">
        <v>76</v>
      </c>
      <c r="U45" s="2">
        <v>98686</v>
      </c>
    </row>
    <row r="46" spans="1:21" x14ac:dyDescent="0.25">
      <c r="A46" t="s">
        <v>122</v>
      </c>
      <c r="B46" t="s">
        <v>541</v>
      </c>
      <c r="T46" s="2" t="s">
        <v>77</v>
      </c>
      <c r="U46" s="2">
        <v>98687</v>
      </c>
    </row>
    <row r="47" spans="1:21" x14ac:dyDescent="0.25">
      <c r="A47" t="s">
        <v>123</v>
      </c>
      <c r="B47" t="s">
        <v>502</v>
      </c>
      <c r="E47" t="s">
        <v>10</v>
      </c>
      <c r="F47" t="s">
        <v>14</v>
      </c>
      <c r="T47" s="2" t="s">
        <v>78</v>
      </c>
      <c r="U47" s="2">
        <v>98689</v>
      </c>
    </row>
    <row r="48" spans="1:21" x14ac:dyDescent="0.25">
      <c r="A48" t="s">
        <v>82</v>
      </c>
      <c r="B48" t="s">
        <v>543</v>
      </c>
      <c r="E48" t="s">
        <v>10</v>
      </c>
      <c r="F48" t="s">
        <v>22</v>
      </c>
      <c r="T48" s="2" t="s">
        <v>79</v>
      </c>
      <c r="U48" s="2">
        <v>98690</v>
      </c>
    </row>
    <row r="49" spans="1:21" x14ac:dyDescent="0.25">
      <c r="A49" t="s">
        <v>83</v>
      </c>
      <c r="B49" t="s">
        <v>503</v>
      </c>
      <c r="E49" t="s">
        <v>10</v>
      </c>
      <c r="F49" t="s">
        <v>25</v>
      </c>
      <c r="T49" s="2" t="s">
        <v>80</v>
      </c>
      <c r="U49" s="2">
        <v>98692</v>
      </c>
    </row>
    <row r="50" spans="1:21" x14ac:dyDescent="0.25">
      <c r="A50" t="s">
        <v>124</v>
      </c>
      <c r="B50" t="s">
        <v>544</v>
      </c>
      <c r="T50" s="2" t="s">
        <v>81</v>
      </c>
      <c r="U50" s="2">
        <v>98693</v>
      </c>
    </row>
    <row r="51" spans="1:21" x14ac:dyDescent="0.25">
      <c r="A51" t="s">
        <v>125</v>
      </c>
      <c r="B51" t="s">
        <v>504</v>
      </c>
      <c r="T51" s="2" t="s">
        <v>82</v>
      </c>
      <c r="U51" s="2">
        <v>98695</v>
      </c>
    </row>
    <row r="52" spans="1:21" x14ac:dyDescent="0.25">
      <c r="A52" t="s">
        <v>146</v>
      </c>
      <c r="B52" t="s">
        <v>545</v>
      </c>
      <c r="T52" s="2" t="s">
        <v>83</v>
      </c>
      <c r="U52" s="2">
        <v>98696</v>
      </c>
    </row>
    <row r="53" spans="1:21" x14ac:dyDescent="0.25">
      <c r="A53" t="s">
        <v>147</v>
      </c>
      <c r="B53" t="s">
        <v>505</v>
      </c>
      <c r="T53" s="2" t="s">
        <v>84</v>
      </c>
      <c r="U53" s="2">
        <v>98699</v>
      </c>
    </row>
    <row r="54" spans="1:21" x14ac:dyDescent="0.25">
      <c r="A54" t="s">
        <v>100</v>
      </c>
      <c r="B54" t="s">
        <v>546</v>
      </c>
      <c r="T54" s="2" t="s">
        <v>85</v>
      </c>
      <c r="U54" s="2">
        <v>98700</v>
      </c>
    </row>
    <row r="55" spans="1:21" x14ac:dyDescent="0.25">
      <c r="A55" t="s">
        <v>101</v>
      </c>
      <c r="B55" t="s">
        <v>506</v>
      </c>
      <c r="T55" s="2" t="s">
        <v>86</v>
      </c>
      <c r="U55" s="2">
        <v>98703</v>
      </c>
    </row>
    <row r="56" spans="1:21" x14ac:dyDescent="0.25">
      <c r="A56" t="s">
        <v>84</v>
      </c>
      <c r="B56" t="s">
        <v>547</v>
      </c>
      <c r="T56" s="2" t="s">
        <v>87</v>
      </c>
      <c r="U56" s="2">
        <v>98704</v>
      </c>
    </row>
    <row r="57" spans="1:21" x14ac:dyDescent="0.25">
      <c r="A57" t="s">
        <v>85</v>
      </c>
      <c r="B57" t="s">
        <v>507</v>
      </c>
      <c r="T57" s="2" t="s">
        <v>88</v>
      </c>
      <c r="U57" s="2">
        <v>98706</v>
      </c>
    </row>
    <row r="58" spans="1:21" x14ac:dyDescent="0.25">
      <c r="A58" t="s">
        <v>126</v>
      </c>
      <c r="B58" t="s">
        <v>548</v>
      </c>
      <c r="T58" s="2" t="s">
        <v>89</v>
      </c>
      <c r="U58" s="2">
        <v>98707</v>
      </c>
    </row>
    <row r="59" spans="1:21" x14ac:dyDescent="0.25">
      <c r="A59" t="s">
        <v>127</v>
      </c>
      <c r="B59" t="s">
        <v>508</v>
      </c>
      <c r="T59" s="2" t="s">
        <v>90</v>
      </c>
      <c r="U59" s="2">
        <v>98710</v>
      </c>
    </row>
    <row r="60" spans="1:21" x14ac:dyDescent="0.25">
      <c r="A60" t="s">
        <v>128</v>
      </c>
      <c r="B60" t="s">
        <v>549</v>
      </c>
      <c r="T60" s="2" t="s">
        <v>91</v>
      </c>
      <c r="U60" s="2">
        <v>98712</v>
      </c>
    </row>
    <row r="61" spans="1:21" x14ac:dyDescent="0.25">
      <c r="A61" t="s">
        <v>129</v>
      </c>
      <c r="B61" t="s">
        <v>509</v>
      </c>
      <c r="T61" s="2" t="s">
        <v>92</v>
      </c>
      <c r="U61" s="2">
        <v>98714</v>
      </c>
    </row>
    <row r="62" spans="1:21" x14ac:dyDescent="0.25">
      <c r="A62" t="s">
        <v>86</v>
      </c>
      <c r="B62" t="s">
        <v>550</v>
      </c>
      <c r="T62" s="2" t="s">
        <v>93</v>
      </c>
      <c r="U62" s="2">
        <v>98715</v>
      </c>
    </row>
    <row r="63" spans="1:21" x14ac:dyDescent="0.25">
      <c r="A63" t="s">
        <v>87</v>
      </c>
      <c r="B63" t="s">
        <v>510</v>
      </c>
      <c r="T63" s="2" t="s">
        <v>94</v>
      </c>
      <c r="U63" s="2">
        <v>98717</v>
      </c>
    </row>
    <row r="64" spans="1:21" x14ac:dyDescent="0.25">
      <c r="A64" t="s">
        <v>102</v>
      </c>
      <c r="B64" t="s">
        <v>551</v>
      </c>
      <c r="T64" s="2" t="s">
        <v>95</v>
      </c>
      <c r="U64" s="2">
        <v>98718</v>
      </c>
    </row>
    <row r="65" spans="1:21" x14ac:dyDescent="0.25">
      <c r="A65" t="s">
        <v>103</v>
      </c>
      <c r="B65" t="s">
        <v>511</v>
      </c>
      <c r="T65" s="2" t="s">
        <v>96</v>
      </c>
      <c r="U65" s="2">
        <v>98720</v>
      </c>
    </row>
    <row r="66" spans="1:21" x14ac:dyDescent="0.25">
      <c r="A66" t="s">
        <v>130</v>
      </c>
      <c r="B66" t="s">
        <v>552</v>
      </c>
      <c r="T66" s="2" t="s">
        <v>97</v>
      </c>
      <c r="U66" s="2">
        <v>98721</v>
      </c>
    </row>
    <row r="67" spans="1:21" x14ac:dyDescent="0.25">
      <c r="A67" t="s">
        <v>131</v>
      </c>
      <c r="B67" t="s">
        <v>512</v>
      </c>
      <c r="T67" s="2" t="s">
        <v>98</v>
      </c>
      <c r="U67" s="2">
        <v>98783</v>
      </c>
    </row>
    <row r="68" spans="1:21" x14ac:dyDescent="0.25">
      <c r="A68" t="s">
        <v>104</v>
      </c>
      <c r="B68" t="s">
        <v>553</v>
      </c>
      <c r="T68" s="2" t="s">
        <v>99</v>
      </c>
      <c r="U68" s="2">
        <v>98784</v>
      </c>
    </row>
    <row r="69" spans="1:21" x14ac:dyDescent="0.25">
      <c r="A69" t="s">
        <v>105</v>
      </c>
      <c r="B69" t="s">
        <v>514</v>
      </c>
      <c r="T69" s="2" t="s">
        <v>100</v>
      </c>
      <c r="U69" s="2">
        <v>98790</v>
      </c>
    </row>
    <row r="70" spans="1:21" x14ac:dyDescent="0.25">
      <c r="A70" t="s">
        <v>88</v>
      </c>
      <c r="B70" t="s">
        <v>554</v>
      </c>
      <c r="T70" s="2" t="s">
        <v>101</v>
      </c>
      <c r="U70" s="2">
        <v>98791</v>
      </c>
    </row>
    <row r="71" spans="1:21" x14ac:dyDescent="0.25">
      <c r="A71" t="s">
        <v>89</v>
      </c>
      <c r="B71" t="s">
        <v>513</v>
      </c>
      <c r="T71" s="2" t="s">
        <v>102</v>
      </c>
      <c r="U71" s="2">
        <v>98793</v>
      </c>
    </row>
    <row r="72" spans="1:21" x14ac:dyDescent="0.25">
      <c r="A72" t="s">
        <v>132</v>
      </c>
      <c r="B72" t="s">
        <v>555</v>
      </c>
      <c r="T72" s="2" t="s">
        <v>103</v>
      </c>
      <c r="U72" s="2">
        <v>98794</v>
      </c>
    </row>
    <row r="73" spans="1:21" x14ac:dyDescent="0.25">
      <c r="A73" t="s">
        <v>133</v>
      </c>
      <c r="B73" t="s">
        <v>515</v>
      </c>
      <c r="T73" s="2" t="s">
        <v>104</v>
      </c>
      <c r="U73" s="2">
        <v>98796</v>
      </c>
    </row>
    <row r="74" spans="1:21" x14ac:dyDescent="0.25">
      <c r="A74" t="s">
        <v>106</v>
      </c>
      <c r="B74" t="s">
        <v>556</v>
      </c>
      <c r="T74" s="2" t="s">
        <v>105</v>
      </c>
      <c r="U74" s="2">
        <v>98797</v>
      </c>
    </row>
    <row r="75" spans="1:21" x14ac:dyDescent="0.25">
      <c r="A75" t="s">
        <v>107</v>
      </c>
      <c r="B75" t="s">
        <v>516</v>
      </c>
      <c r="T75" s="2" t="s">
        <v>106</v>
      </c>
      <c r="U75" s="2">
        <v>98799</v>
      </c>
    </row>
    <row r="76" spans="1:21" x14ac:dyDescent="0.25">
      <c r="A76" t="s">
        <v>134</v>
      </c>
      <c r="B76" t="s">
        <v>557</v>
      </c>
      <c r="T76" s="2" t="s">
        <v>107</v>
      </c>
      <c r="U76" s="2">
        <v>98800</v>
      </c>
    </row>
    <row r="77" spans="1:21" x14ac:dyDescent="0.25">
      <c r="A77" t="s">
        <v>135</v>
      </c>
      <c r="B77" t="s">
        <v>517</v>
      </c>
      <c r="T77" s="2" t="s">
        <v>108</v>
      </c>
      <c r="U77" s="2">
        <v>98804</v>
      </c>
    </row>
    <row r="78" spans="1:21" x14ac:dyDescent="0.25">
      <c r="A78" t="s">
        <v>90</v>
      </c>
      <c r="B78" t="s">
        <v>558</v>
      </c>
      <c r="T78" s="2" t="s">
        <v>109</v>
      </c>
      <c r="U78" s="2">
        <v>98805</v>
      </c>
    </row>
    <row r="79" spans="1:21" x14ac:dyDescent="0.25">
      <c r="A79" t="s">
        <v>91</v>
      </c>
      <c r="B79" t="s">
        <v>518</v>
      </c>
      <c r="T79" s="2" t="s">
        <v>110</v>
      </c>
      <c r="U79" s="2">
        <v>98807</v>
      </c>
    </row>
    <row r="80" spans="1:21" x14ac:dyDescent="0.25">
      <c r="A80" t="s">
        <v>92</v>
      </c>
      <c r="B80" t="s">
        <v>559</v>
      </c>
      <c r="T80" s="2" t="s">
        <v>111</v>
      </c>
      <c r="U80" s="2">
        <v>98809</v>
      </c>
    </row>
    <row r="81" spans="1:21" x14ac:dyDescent="0.25">
      <c r="A81" t="s">
        <v>93</v>
      </c>
      <c r="B81" t="s">
        <v>519</v>
      </c>
      <c r="T81" s="2" t="s">
        <v>12</v>
      </c>
      <c r="U81" s="2">
        <v>98818</v>
      </c>
    </row>
    <row r="82" spans="1:21" x14ac:dyDescent="0.25">
      <c r="A82" t="s">
        <v>136</v>
      </c>
      <c r="B82" t="s">
        <v>560</v>
      </c>
      <c r="T82" s="2" t="s">
        <v>17</v>
      </c>
      <c r="U82" s="2">
        <v>98821</v>
      </c>
    </row>
    <row r="83" spans="1:21" x14ac:dyDescent="0.25">
      <c r="A83" t="s">
        <v>137</v>
      </c>
      <c r="B83" t="s">
        <v>520</v>
      </c>
      <c r="T83" s="2" t="s">
        <v>20</v>
      </c>
      <c r="U83" s="2">
        <v>98825</v>
      </c>
    </row>
    <row r="84" spans="1:21" x14ac:dyDescent="0.25">
      <c r="A84" t="s">
        <v>138</v>
      </c>
      <c r="B84" t="s">
        <v>561</v>
      </c>
      <c r="T84" s="2" t="s">
        <v>23</v>
      </c>
      <c r="U84" s="2">
        <v>98828</v>
      </c>
    </row>
    <row r="85" spans="1:21" x14ac:dyDescent="0.25">
      <c r="A85" t="s">
        <v>139</v>
      </c>
      <c r="B85" t="s">
        <v>521</v>
      </c>
      <c r="T85" s="2" t="s">
        <v>26</v>
      </c>
      <c r="U85" s="2">
        <v>98832</v>
      </c>
    </row>
    <row r="86" spans="1:21" x14ac:dyDescent="0.25">
      <c r="A86" t="s">
        <v>94</v>
      </c>
      <c r="B86" t="s">
        <v>562</v>
      </c>
      <c r="T86" s="2" t="s">
        <v>28</v>
      </c>
      <c r="U86" s="2">
        <v>98836</v>
      </c>
    </row>
    <row r="87" spans="1:21" x14ac:dyDescent="0.25">
      <c r="A87" t="s">
        <v>95</v>
      </c>
      <c r="B87" t="s">
        <v>522</v>
      </c>
      <c r="T87" s="2" t="s">
        <v>30</v>
      </c>
      <c r="U87" s="2">
        <v>98840</v>
      </c>
    </row>
    <row r="88" spans="1:21" x14ac:dyDescent="0.25">
      <c r="A88" t="s">
        <v>108</v>
      </c>
      <c r="B88" t="s">
        <v>563</v>
      </c>
      <c r="T88" s="2" t="s">
        <v>32</v>
      </c>
      <c r="U88" s="2">
        <v>98843</v>
      </c>
    </row>
    <row r="89" spans="1:21" x14ac:dyDescent="0.25">
      <c r="A89" t="s">
        <v>109</v>
      </c>
      <c r="B89" t="s">
        <v>523</v>
      </c>
      <c r="T89" s="2" t="s">
        <v>34</v>
      </c>
      <c r="U89" s="2">
        <v>98846</v>
      </c>
    </row>
    <row r="90" spans="1:21" x14ac:dyDescent="0.25">
      <c r="A90" t="s">
        <v>110</v>
      </c>
      <c r="B90" t="s">
        <v>564</v>
      </c>
      <c r="T90" s="2" t="s">
        <v>36</v>
      </c>
      <c r="U90" s="2">
        <v>98852</v>
      </c>
    </row>
    <row r="91" spans="1:21" x14ac:dyDescent="0.25">
      <c r="A91" t="s">
        <v>111</v>
      </c>
      <c r="B91" t="s">
        <v>524</v>
      </c>
      <c r="T91" s="2" t="s">
        <v>38</v>
      </c>
      <c r="U91" s="2">
        <v>98855</v>
      </c>
    </row>
    <row r="92" spans="1:21" x14ac:dyDescent="0.25">
      <c r="A92" t="s">
        <v>66</v>
      </c>
      <c r="B92" t="s">
        <v>565</v>
      </c>
      <c r="T92" s="2" t="s">
        <v>40</v>
      </c>
      <c r="U92" s="2">
        <v>98858</v>
      </c>
    </row>
    <row r="93" spans="1:21" x14ac:dyDescent="0.25">
      <c r="A93" t="s">
        <v>67</v>
      </c>
      <c r="B93" t="s">
        <v>438</v>
      </c>
      <c r="T93" s="2" t="s">
        <v>42</v>
      </c>
      <c r="U93" s="2">
        <v>98861</v>
      </c>
    </row>
    <row r="94" spans="1:21" x14ac:dyDescent="0.25">
      <c r="T94" s="2" t="s">
        <v>113</v>
      </c>
      <c r="U94" s="2">
        <v>98820</v>
      </c>
    </row>
    <row r="95" spans="1:21" x14ac:dyDescent="0.25">
      <c r="T95" s="2" t="s">
        <v>114</v>
      </c>
      <c r="U95" s="2">
        <v>98822</v>
      </c>
    </row>
    <row r="96" spans="1:21" x14ac:dyDescent="0.25">
      <c r="T96" s="2" t="s">
        <v>115</v>
      </c>
      <c r="U96" s="2">
        <v>98823</v>
      </c>
    </row>
    <row r="97" spans="20:21" x14ac:dyDescent="0.25">
      <c r="T97" s="2" t="s">
        <v>116</v>
      </c>
      <c r="U97" s="2">
        <v>98826</v>
      </c>
    </row>
    <row r="98" spans="20:21" x14ac:dyDescent="0.25">
      <c r="T98" s="2" t="s">
        <v>117</v>
      </c>
      <c r="U98" s="2">
        <v>98827</v>
      </c>
    </row>
    <row r="99" spans="20:21" x14ac:dyDescent="0.25">
      <c r="T99" s="2" t="s">
        <v>118</v>
      </c>
      <c r="U99" s="2">
        <v>98829</v>
      </c>
    </row>
    <row r="100" spans="20:21" x14ac:dyDescent="0.25">
      <c r="T100" s="2" t="s">
        <v>119</v>
      </c>
      <c r="U100" s="2">
        <v>98830</v>
      </c>
    </row>
    <row r="101" spans="20:21" x14ac:dyDescent="0.25">
      <c r="T101" s="2" t="s">
        <v>120</v>
      </c>
      <c r="U101" s="2">
        <v>98833</v>
      </c>
    </row>
    <row r="102" spans="20:21" x14ac:dyDescent="0.25">
      <c r="T102" s="2" t="s">
        <v>121</v>
      </c>
      <c r="U102" s="2">
        <v>98835</v>
      </c>
    </row>
    <row r="103" spans="20:21" x14ac:dyDescent="0.25">
      <c r="T103" s="2" t="s">
        <v>122</v>
      </c>
      <c r="U103" s="2">
        <v>98837</v>
      </c>
    </row>
    <row r="104" spans="20:21" x14ac:dyDescent="0.25">
      <c r="T104" s="2" t="s">
        <v>123</v>
      </c>
      <c r="U104" s="2">
        <v>98838</v>
      </c>
    </row>
    <row r="105" spans="20:21" x14ac:dyDescent="0.25">
      <c r="T105" s="2" t="s">
        <v>124</v>
      </c>
      <c r="U105" s="2">
        <v>98841</v>
      </c>
    </row>
    <row r="106" spans="20:21" x14ac:dyDescent="0.25">
      <c r="T106" s="2" t="s">
        <v>125</v>
      </c>
      <c r="U106" s="2">
        <v>98842</v>
      </c>
    </row>
    <row r="107" spans="20:21" x14ac:dyDescent="0.25">
      <c r="T107" s="2" t="s">
        <v>126</v>
      </c>
      <c r="U107" s="2">
        <v>98844</v>
      </c>
    </row>
    <row r="108" spans="20:21" x14ac:dyDescent="0.25">
      <c r="T108" s="2" t="s">
        <v>127</v>
      </c>
      <c r="U108" s="2">
        <v>98845</v>
      </c>
    </row>
    <row r="109" spans="20:21" x14ac:dyDescent="0.25">
      <c r="T109" s="2" t="s">
        <v>128</v>
      </c>
      <c r="U109" s="2">
        <v>98848</v>
      </c>
    </row>
    <row r="110" spans="20:21" x14ac:dyDescent="0.25">
      <c r="T110" s="2" t="s">
        <v>129</v>
      </c>
      <c r="U110" s="2">
        <v>98850</v>
      </c>
    </row>
    <row r="111" spans="20:21" x14ac:dyDescent="0.25">
      <c r="T111" s="2" t="s">
        <v>130</v>
      </c>
      <c r="U111" s="2">
        <v>98853</v>
      </c>
    </row>
    <row r="112" spans="20:21" x14ac:dyDescent="0.25">
      <c r="T112" s="2" t="s">
        <v>131</v>
      </c>
      <c r="U112" s="2">
        <v>98854</v>
      </c>
    </row>
    <row r="113" spans="20:21" x14ac:dyDescent="0.25">
      <c r="T113" s="2" t="s">
        <v>132</v>
      </c>
      <c r="U113" s="2">
        <v>98856</v>
      </c>
    </row>
    <row r="114" spans="20:21" x14ac:dyDescent="0.25">
      <c r="T114" s="2" t="s">
        <v>133</v>
      </c>
      <c r="U114" s="2">
        <v>98857</v>
      </c>
    </row>
    <row r="115" spans="20:21" x14ac:dyDescent="0.25">
      <c r="T115" s="2" t="s">
        <v>134</v>
      </c>
      <c r="U115" s="2">
        <v>98859</v>
      </c>
    </row>
    <row r="116" spans="20:21" x14ac:dyDescent="0.25">
      <c r="T116" s="2" t="s">
        <v>135</v>
      </c>
      <c r="U116" s="2">
        <v>98860</v>
      </c>
    </row>
    <row r="117" spans="20:21" x14ac:dyDescent="0.25">
      <c r="T117" s="2" t="s">
        <v>136</v>
      </c>
      <c r="U117" s="2">
        <v>98862</v>
      </c>
    </row>
    <row r="118" spans="20:21" x14ac:dyDescent="0.25">
      <c r="T118" s="2" t="s">
        <v>137</v>
      </c>
      <c r="U118" s="2">
        <v>98863</v>
      </c>
    </row>
    <row r="119" spans="20:21" x14ac:dyDescent="0.25">
      <c r="T119" s="2" t="s">
        <v>138</v>
      </c>
      <c r="U119" s="2">
        <v>98865</v>
      </c>
    </row>
    <row r="120" spans="20:21" x14ac:dyDescent="0.25">
      <c r="T120" s="2" t="s">
        <v>139</v>
      </c>
      <c r="U120" s="2">
        <v>98866</v>
      </c>
    </row>
    <row r="121" spans="20:21" x14ac:dyDescent="0.25">
      <c r="T121" s="2" t="s">
        <v>14</v>
      </c>
      <c r="U121" s="2">
        <v>98868</v>
      </c>
    </row>
    <row r="122" spans="20:21" x14ac:dyDescent="0.25">
      <c r="T122" s="2" t="s">
        <v>19</v>
      </c>
      <c r="U122" s="2">
        <v>98871</v>
      </c>
    </row>
    <row r="123" spans="20:21" x14ac:dyDescent="0.25">
      <c r="T123" s="2" t="s">
        <v>22</v>
      </c>
      <c r="U123" s="2">
        <v>98878</v>
      </c>
    </row>
    <row r="124" spans="20:21" x14ac:dyDescent="0.25">
      <c r="T124" s="2" t="s">
        <v>25</v>
      </c>
      <c r="U124" s="2">
        <v>98882</v>
      </c>
    </row>
    <row r="125" spans="20:21" x14ac:dyDescent="0.25">
      <c r="T125" s="2" t="s">
        <v>140</v>
      </c>
      <c r="U125" s="2">
        <v>98869</v>
      </c>
    </row>
    <row r="126" spans="20:21" x14ac:dyDescent="0.25">
      <c r="T126" s="2" t="s">
        <v>141</v>
      </c>
      <c r="U126" s="2">
        <v>98870</v>
      </c>
    </row>
    <row r="127" spans="20:21" x14ac:dyDescent="0.25">
      <c r="T127" s="2" t="s">
        <v>142</v>
      </c>
      <c r="U127" s="2">
        <v>98872</v>
      </c>
    </row>
    <row r="128" spans="20:21" x14ac:dyDescent="0.25">
      <c r="T128" s="2" t="s">
        <v>143</v>
      </c>
      <c r="U128" s="2">
        <v>98873</v>
      </c>
    </row>
    <row r="129" spans="20:21" x14ac:dyDescent="0.25">
      <c r="T129" s="2" t="s">
        <v>144</v>
      </c>
      <c r="U129" s="2">
        <v>98879</v>
      </c>
    </row>
    <row r="130" spans="20:21" x14ac:dyDescent="0.25">
      <c r="T130" s="2" t="s">
        <v>145</v>
      </c>
      <c r="U130" s="2">
        <v>98880</v>
      </c>
    </row>
    <row r="131" spans="20:21" x14ac:dyDescent="0.25">
      <c r="T131" s="2" t="s">
        <v>146</v>
      </c>
      <c r="U131" s="2">
        <v>98883</v>
      </c>
    </row>
    <row r="132" spans="20:21" x14ac:dyDescent="0.25">
      <c r="T132" s="2" t="s">
        <v>147</v>
      </c>
      <c r="U132" s="2">
        <v>98884</v>
      </c>
    </row>
    <row r="133" spans="20:21" x14ac:dyDescent="0.25">
      <c r="T133" s="2" t="s">
        <v>646</v>
      </c>
      <c r="U133" s="65">
        <v>100135</v>
      </c>
    </row>
    <row r="134" spans="20:21" x14ac:dyDescent="0.25">
      <c r="T134" s="2" t="s">
        <v>648</v>
      </c>
      <c r="U134" s="65">
        <v>100137</v>
      </c>
    </row>
    <row r="135" spans="20:21" x14ac:dyDescent="0.25">
      <c r="T135" s="2" t="s">
        <v>647</v>
      </c>
      <c r="U135" s="65">
        <v>100139</v>
      </c>
    </row>
    <row r="136" spans="20:21" x14ac:dyDescent="0.25">
      <c r="T136" t="s">
        <v>727</v>
      </c>
      <c r="U136" s="65">
        <v>103570</v>
      </c>
    </row>
    <row r="137" spans="20:21" x14ac:dyDescent="0.25">
      <c r="T137" t="s">
        <v>709</v>
      </c>
      <c r="U137" s="65">
        <v>103571</v>
      </c>
    </row>
  </sheetData>
  <autoFilter ref="T1:U137"/>
  <sortState ref="G2:G24">
    <sortCondition ref="G2:G24"/>
  </sortState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D138"/>
  <sheetViews>
    <sheetView topLeftCell="C1" zoomScale="90" zoomScaleNormal="90" workbookViewId="0">
      <selection activeCell="B86" sqref="A86:XFD86"/>
    </sheetView>
  </sheetViews>
  <sheetFormatPr defaultRowHeight="15" x14ac:dyDescent="0.25"/>
  <cols>
    <col min="1" max="1" width="22.85546875" bestFit="1" customWidth="1"/>
    <col min="2" max="2" width="51" bestFit="1" customWidth="1"/>
    <col min="3" max="3" width="47.42578125" bestFit="1" customWidth="1"/>
    <col min="4" max="4" width="54.5703125" bestFit="1" customWidth="1"/>
  </cols>
  <sheetData>
    <row r="3" spans="1:4" x14ac:dyDescent="0.25">
      <c r="A3" t="s">
        <v>58</v>
      </c>
    </row>
    <row r="4" spans="1:4" x14ac:dyDescent="0.25">
      <c r="B4" t="s">
        <v>7</v>
      </c>
    </row>
    <row r="5" spans="1:4" x14ac:dyDescent="0.25">
      <c r="C5" t="s">
        <v>11</v>
      </c>
    </row>
    <row r="6" spans="1:4" x14ac:dyDescent="0.25">
      <c r="D6" t="s">
        <v>59</v>
      </c>
    </row>
    <row r="7" spans="1:4" x14ac:dyDescent="0.25">
      <c r="D7" t="s">
        <v>60</v>
      </c>
    </row>
    <row r="8" spans="1:4" x14ac:dyDescent="0.25">
      <c r="C8" t="s">
        <v>16</v>
      </c>
    </row>
    <row r="9" spans="1:4" x14ac:dyDescent="0.25">
      <c r="D9" t="s">
        <v>66</v>
      </c>
    </row>
    <row r="10" spans="1:4" x14ac:dyDescent="0.25">
      <c r="D10" t="s">
        <v>67</v>
      </c>
    </row>
    <row r="11" spans="1:4" x14ac:dyDescent="0.25">
      <c r="C11" t="s">
        <v>19</v>
      </c>
    </row>
    <row r="12" spans="1:4" x14ac:dyDescent="0.25">
      <c r="D12" t="s">
        <v>142</v>
      </c>
    </row>
    <row r="13" spans="1:4" x14ac:dyDescent="0.25">
      <c r="D13" t="s">
        <v>143</v>
      </c>
    </row>
    <row r="14" spans="1:4" x14ac:dyDescent="0.25">
      <c r="B14" t="s">
        <v>634</v>
      </c>
    </row>
    <row r="15" spans="1:4" x14ac:dyDescent="0.25">
      <c r="C15" t="s">
        <v>12</v>
      </c>
    </row>
    <row r="16" spans="1:4" x14ac:dyDescent="0.25">
      <c r="D16" t="s">
        <v>112</v>
      </c>
    </row>
    <row r="17" spans="3:4" x14ac:dyDescent="0.25">
      <c r="D17" t="s">
        <v>113</v>
      </c>
    </row>
    <row r="18" spans="3:4" x14ac:dyDescent="0.25">
      <c r="C18" t="s">
        <v>17</v>
      </c>
    </row>
    <row r="19" spans="3:4" x14ac:dyDescent="0.25">
      <c r="D19" t="s">
        <v>114</v>
      </c>
    </row>
    <row r="20" spans="3:4" x14ac:dyDescent="0.25">
      <c r="D20" t="s">
        <v>115</v>
      </c>
    </row>
    <row r="21" spans="3:4" x14ac:dyDescent="0.25">
      <c r="C21" t="s">
        <v>20</v>
      </c>
    </row>
    <row r="22" spans="3:4" x14ac:dyDescent="0.25">
      <c r="D22" t="s">
        <v>116</v>
      </c>
    </row>
    <row r="23" spans="3:4" x14ac:dyDescent="0.25">
      <c r="D23" t="s">
        <v>117</v>
      </c>
    </row>
    <row r="24" spans="3:4" x14ac:dyDescent="0.25">
      <c r="C24" t="s">
        <v>23</v>
      </c>
    </row>
    <row r="25" spans="3:4" x14ac:dyDescent="0.25">
      <c r="D25" t="s">
        <v>118</v>
      </c>
    </row>
    <row r="26" spans="3:4" x14ac:dyDescent="0.25">
      <c r="D26" t="s">
        <v>119</v>
      </c>
    </row>
    <row r="27" spans="3:4" x14ac:dyDescent="0.25">
      <c r="C27" t="s">
        <v>26</v>
      </c>
    </row>
    <row r="28" spans="3:4" x14ac:dyDescent="0.25">
      <c r="D28" t="s">
        <v>120</v>
      </c>
    </row>
    <row r="29" spans="3:4" x14ac:dyDescent="0.25">
      <c r="D29" t="s">
        <v>121</v>
      </c>
    </row>
    <row r="30" spans="3:4" x14ac:dyDescent="0.25">
      <c r="C30" t="s">
        <v>28</v>
      </c>
    </row>
    <row r="31" spans="3:4" x14ac:dyDescent="0.25">
      <c r="D31" t="s">
        <v>122</v>
      </c>
    </row>
    <row r="32" spans="3:4" x14ac:dyDescent="0.25">
      <c r="D32" t="s">
        <v>123</v>
      </c>
    </row>
    <row r="33" spans="3:4" x14ac:dyDescent="0.25">
      <c r="C33" t="s">
        <v>30</v>
      </c>
    </row>
    <row r="34" spans="3:4" x14ac:dyDescent="0.25">
      <c r="D34" t="s">
        <v>124</v>
      </c>
    </row>
    <row r="35" spans="3:4" x14ac:dyDescent="0.25">
      <c r="D35" t="s">
        <v>125</v>
      </c>
    </row>
    <row r="36" spans="3:4" x14ac:dyDescent="0.25">
      <c r="C36" t="s">
        <v>32</v>
      </c>
    </row>
    <row r="37" spans="3:4" x14ac:dyDescent="0.25">
      <c r="D37" t="s">
        <v>126</v>
      </c>
    </row>
    <row r="38" spans="3:4" x14ac:dyDescent="0.25">
      <c r="D38" t="s">
        <v>127</v>
      </c>
    </row>
    <row r="39" spans="3:4" x14ac:dyDescent="0.25">
      <c r="C39" t="s">
        <v>34</v>
      </c>
    </row>
    <row r="40" spans="3:4" x14ac:dyDescent="0.25">
      <c r="D40" t="s">
        <v>128</v>
      </c>
    </row>
    <row r="41" spans="3:4" x14ac:dyDescent="0.25">
      <c r="D41" t="s">
        <v>129</v>
      </c>
    </row>
    <row r="42" spans="3:4" x14ac:dyDescent="0.25">
      <c r="C42" t="s">
        <v>36</v>
      </c>
    </row>
    <row r="43" spans="3:4" x14ac:dyDescent="0.25">
      <c r="D43" t="s">
        <v>130</v>
      </c>
    </row>
    <row r="44" spans="3:4" x14ac:dyDescent="0.25">
      <c r="D44" t="s">
        <v>131</v>
      </c>
    </row>
    <row r="45" spans="3:4" x14ac:dyDescent="0.25">
      <c r="C45" t="s">
        <v>38</v>
      </c>
    </row>
    <row r="46" spans="3:4" x14ac:dyDescent="0.25">
      <c r="D46" t="s">
        <v>132</v>
      </c>
    </row>
    <row r="47" spans="3:4" x14ac:dyDescent="0.25">
      <c r="D47" t="s">
        <v>133</v>
      </c>
    </row>
    <row r="48" spans="3:4" x14ac:dyDescent="0.25">
      <c r="C48" t="s">
        <v>40</v>
      </c>
    </row>
    <row r="49" spans="2:4" x14ac:dyDescent="0.25">
      <c r="D49" t="s">
        <v>134</v>
      </c>
    </row>
    <row r="50" spans="2:4" x14ac:dyDescent="0.25">
      <c r="D50" t="s">
        <v>135</v>
      </c>
    </row>
    <row r="51" spans="2:4" x14ac:dyDescent="0.25">
      <c r="C51" t="s">
        <v>42</v>
      </c>
    </row>
    <row r="52" spans="2:4" x14ac:dyDescent="0.25">
      <c r="D52" t="s">
        <v>136</v>
      </c>
    </row>
    <row r="53" spans="2:4" x14ac:dyDescent="0.25">
      <c r="D53" t="s">
        <v>137</v>
      </c>
    </row>
    <row r="54" spans="2:4" x14ac:dyDescent="0.25">
      <c r="C54" t="s">
        <v>44</v>
      </c>
    </row>
    <row r="55" spans="2:4" x14ac:dyDescent="0.25">
      <c r="D55" t="s">
        <v>138</v>
      </c>
    </row>
    <row r="56" spans="2:4" x14ac:dyDescent="0.25">
      <c r="D56" t="s">
        <v>139</v>
      </c>
    </row>
    <row r="57" spans="2:4" x14ac:dyDescent="0.25">
      <c r="B57" t="s">
        <v>9</v>
      </c>
    </row>
    <row r="58" spans="2:4" x14ac:dyDescent="0.25">
      <c r="C58" t="s">
        <v>13</v>
      </c>
    </row>
    <row r="59" spans="2:4" x14ac:dyDescent="0.25">
      <c r="D59" t="s">
        <v>68</v>
      </c>
    </row>
    <row r="60" spans="2:4" x14ac:dyDescent="0.25">
      <c r="D60" t="s">
        <v>69</v>
      </c>
    </row>
    <row r="61" spans="2:4" x14ac:dyDescent="0.25">
      <c r="C61" t="s">
        <v>18</v>
      </c>
    </row>
    <row r="62" spans="2:4" x14ac:dyDescent="0.25">
      <c r="D62" t="s">
        <v>70</v>
      </c>
    </row>
    <row r="63" spans="2:4" x14ac:dyDescent="0.25">
      <c r="D63" t="s">
        <v>71</v>
      </c>
    </row>
    <row r="64" spans="2:4" x14ac:dyDescent="0.25">
      <c r="C64" t="s">
        <v>21</v>
      </c>
    </row>
    <row r="65" spans="3:4" x14ac:dyDescent="0.25">
      <c r="D65" t="s">
        <v>72</v>
      </c>
    </row>
    <row r="66" spans="3:4" x14ac:dyDescent="0.25">
      <c r="D66" t="s">
        <v>73</v>
      </c>
    </row>
    <row r="67" spans="3:4" x14ac:dyDescent="0.25">
      <c r="C67" t="s">
        <v>24</v>
      </c>
    </row>
    <row r="68" spans="3:4" x14ac:dyDescent="0.25">
      <c r="D68" t="s">
        <v>96</v>
      </c>
    </row>
    <row r="69" spans="3:4" x14ac:dyDescent="0.25">
      <c r="D69" t="s">
        <v>97</v>
      </c>
    </row>
    <row r="70" spans="3:4" x14ac:dyDescent="0.25">
      <c r="C70" t="s">
        <v>27</v>
      </c>
    </row>
    <row r="71" spans="3:4" x14ac:dyDescent="0.25">
      <c r="D71" t="s">
        <v>74</v>
      </c>
    </row>
    <row r="72" spans="3:4" x14ac:dyDescent="0.25">
      <c r="D72" t="s">
        <v>75</v>
      </c>
    </row>
    <row r="73" spans="3:4" x14ac:dyDescent="0.25">
      <c r="C73" t="s">
        <v>29</v>
      </c>
    </row>
    <row r="74" spans="3:4" x14ac:dyDescent="0.25">
      <c r="D74" t="s">
        <v>76</v>
      </c>
    </row>
    <row r="75" spans="3:4" x14ac:dyDescent="0.25">
      <c r="D75" t="s">
        <v>77</v>
      </c>
    </row>
    <row r="76" spans="3:4" x14ac:dyDescent="0.25">
      <c r="C76" t="s">
        <v>31</v>
      </c>
    </row>
    <row r="77" spans="3:4" x14ac:dyDescent="0.25">
      <c r="D77" t="s">
        <v>78</v>
      </c>
    </row>
    <row r="78" spans="3:4" x14ac:dyDescent="0.25">
      <c r="D78" t="s">
        <v>79</v>
      </c>
    </row>
    <row r="79" spans="3:4" x14ac:dyDescent="0.25">
      <c r="C79" t="s">
        <v>33</v>
      </c>
    </row>
    <row r="80" spans="3:4" x14ac:dyDescent="0.25">
      <c r="D80" t="s">
        <v>98</v>
      </c>
    </row>
    <row r="81" spans="3:4" x14ac:dyDescent="0.25">
      <c r="D81" t="s">
        <v>99</v>
      </c>
    </row>
    <row r="83" spans="3:4" x14ac:dyDescent="0.25">
      <c r="C83" t="s">
        <v>726</v>
      </c>
    </row>
    <row r="84" spans="3:4" x14ac:dyDescent="0.25">
      <c r="D84" t="s">
        <v>708</v>
      </c>
    </row>
    <row r="85" spans="3:4" x14ac:dyDescent="0.25">
      <c r="D85" t="s">
        <v>709</v>
      </c>
    </row>
    <row r="87" spans="3:4" x14ac:dyDescent="0.25">
      <c r="C87" t="s">
        <v>35</v>
      </c>
    </row>
    <row r="88" spans="3:4" x14ac:dyDescent="0.25">
      <c r="D88" t="s">
        <v>150</v>
      </c>
    </row>
    <row r="89" spans="3:4" x14ac:dyDescent="0.25">
      <c r="D89" t="s">
        <v>151</v>
      </c>
    </row>
    <row r="90" spans="3:4" x14ac:dyDescent="0.25">
      <c r="C90" t="s">
        <v>37</v>
      </c>
    </row>
    <row r="91" spans="3:4" x14ac:dyDescent="0.25">
      <c r="D91" t="s">
        <v>82</v>
      </c>
    </row>
    <row r="92" spans="3:4" x14ac:dyDescent="0.25">
      <c r="D92" t="s">
        <v>83</v>
      </c>
    </row>
    <row r="93" spans="3:4" x14ac:dyDescent="0.25">
      <c r="C93" t="s">
        <v>39</v>
      </c>
    </row>
    <row r="94" spans="3:4" x14ac:dyDescent="0.25">
      <c r="D94" t="s">
        <v>100</v>
      </c>
    </row>
    <row r="95" spans="3:4" x14ac:dyDescent="0.25">
      <c r="D95" t="s">
        <v>101</v>
      </c>
    </row>
    <row r="96" spans="3:4" x14ac:dyDescent="0.25">
      <c r="C96" t="s">
        <v>41</v>
      </c>
    </row>
    <row r="97" spans="3:4" x14ac:dyDescent="0.25">
      <c r="D97" t="s">
        <v>84</v>
      </c>
    </row>
    <row r="98" spans="3:4" x14ac:dyDescent="0.25">
      <c r="D98" t="s">
        <v>85</v>
      </c>
    </row>
    <row r="99" spans="3:4" x14ac:dyDescent="0.25">
      <c r="C99" t="s">
        <v>43</v>
      </c>
    </row>
    <row r="100" spans="3:4" x14ac:dyDescent="0.25">
      <c r="D100" t="s">
        <v>86</v>
      </c>
    </row>
    <row r="101" spans="3:4" x14ac:dyDescent="0.25">
      <c r="D101" t="s">
        <v>87</v>
      </c>
    </row>
    <row r="102" spans="3:4" x14ac:dyDescent="0.25">
      <c r="C102" t="s">
        <v>45</v>
      </c>
    </row>
    <row r="103" spans="3:4" x14ac:dyDescent="0.25">
      <c r="D103" t="s">
        <v>102</v>
      </c>
    </row>
    <row r="104" spans="3:4" x14ac:dyDescent="0.25">
      <c r="D104" t="s">
        <v>103</v>
      </c>
    </row>
    <row r="105" spans="3:4" x14ac:dyDescent="0.25">
      <c r="C105" t="s">
        <v>46</v>
      </c>
    </row>
    <row r="106" spans="3:4" x14ac:dyDescent="0.25">
      <c r="D106" t="s">
        <v>104</v>
      </c>
    </row>
    <row r="107" spans="3:4" x14ac:dyDescent="0.25">
      <c r="D107" t="s">
        <v>105</v>
      </c>
    </row>
    <row r="108" spans="3:4" x14ac:dyDescent="0.25">
      <c r="C108" t="s">
        <v>47</v>
      </c>
    </row>
    <row r="109" spans="3:4" x14ac:dyDescent="0.25">
      <c r="D109" t="s">
        <v>88</v>
      </c>
    </row>
    <row r="110" spans="3:4" x14ac:dyDescent="0.25">
      <c r="D110" t="s">
        <v>89</v>
      </c>
    </row>
    <row r="111" spans="3:4" x14ac:dyDescent="0.25">
      <c r="C111" t="s">
        <v>48</v>
      </c>
    </row>
    <row r="112" spans="3:4" x14ac:dyDescent="0.25">
      <c r="D112" t="s">
        <v>106</v>
      </c>
    </row>
    <row r="113" spans="2:4" x14ac:dyDescent="0.25">
      <c r="D113" t="s">
        <v>107</v>
      </c>
    </row>
    <row r="114" spans="2:4" x14ac:dyDescent="0.25">
      <c r="C114" t="s">
        <v>49</v>
      </c>
    </row>
    <row r="115" spans="2:4" x14ac:dyDescent="0.25">
      <c r="D115" t="s">
        <v>90</v>
      </c>
    </row>
    <row r="116" spans="2:4" x14ac:dyDescent="0.25">
      <c r="D116" t="s">
        <v>91</v>
      </c>
    </row>
    <row r="117" spans="2:4" x14ac:dyDescent="0.25">
      <c r="C117" t="s">
        <v>50</v>
      </c>
    </row>
    <row r="118" spans="2:4" x14ac:dyDescent="0.25">
      <c r="D118" t="s">
        <v>92</v>
      </c>
    </row>
    <row r="119" spans="2:4" x14ac:dyDescent="0.25">
      <c r="D119" t="s">
        <v>93</v>
      </c>
    </row>
    <row r="120" spans="2:4" x14ac:dyDescent="0.25">
      <c r="C120" t="s">
        <v>51</v>
      </c>
    </row>
    <row r="121" spans="2:4" x14ac:dyDescent="0.25">
      <c r="D121" t="s">
        <v>94</v>
      </c>
    </row>
    <row r="122" spans="2:4" x14ac:dyDescent="0.25">
      <c r="D122" t="s">
        <v>95</v>
      </c>
    </row>
    <row r="123" spans="2:4" x14ac:dyDescent="0.25">
      <c r="C123" t="s">
        <v>52</v>
      </c>
    </row>
    <row r="124" spans="2:4" x14ac:dyDescent="0.25">
      <c r="D124" t="s">
        <v>108</v>
      </c>
    </row>
    <row r="125" spans="2:4" x14ac:dyDescent="0.25">
      <c r="D125" t="s">
        <v>109</v>
      </c>
    </row>
    <row r="126" spans="2:4" x14ac:dyDescent="0.25">
      <c r="B126" t="s">
        <v>635</v>
      </c>
      <c r="C126" t="s">
        <v>53</v>
      </c>
    </row>
    <row r="127" spans="2:4" x14ac:dyDescent="0.25">
      <c r="D127" t="s">
        <v>110</v>
      </c>
    </row>
    <row r="128" spans="2:4" x14ac:dyDescent="0.25">
      <c r="D128" t="s">
        <v>111</v>
      </c>
    </row>
    <row r="130" spans="3:4" x14ac:dyDescent="0.25">
      <c r="C130" t="s">
        <v>14</v>
      </c>
    </row>
    <row r="131" spans="3:4" x14ac:dyDescent="0.25">
      <c r="D131" t="s">
        <v>140</v>
      </c>
    </row>
    <row r="132" spans="3:4" x14ac:dyDescent="0.25">
      <c r="D132" t="s">
        <v>141</v>
      </c>
    </row>
    <row r="133" spans="3:4" x14ac:dyDescent="0.25">
      <c r="C133" t="s">
        <v>22</v>
      </c>
    </row>
    <row r="134" spans="3:4" x14ac:dyDescent="0.25">
      <c r="D134" t="s">
        <v>144</v>
      </c>
    </row>
    <row r="135" spans="3:4" x14ac:dyDescent="0.25">
      <c r="D135" t="s">
        <v>145</v>
      </c>
    </row>
    <row r="136" spans="3:4" x14ac:dyDescent="0.25">
      <c r="C136" t="s">
        <v>25</v>
      </c>
    </row>
    <row r="137" spans="3:4" x14ac:dyDescent="0.25">
      <c r="D137" t="s">
        <v>146</v>
      </c>
    </row>
    <row r="138" spans="3:4" x14ac:dyDescent="0.25">
      <c r="D138" t="s">
        <v>147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H15"/>
  <sheetViews>
    <sheetView topLeftCell="AP1" workbookViewId="0">
      <selection activeCell="AQ4" sqref="AQ4"/>
    </sheetView>
  </sheetViews>
  <sheetFormatPr defaultRowHeight="15" x14ac:dyDescent="0.25"/>
  <cols>
    <col min="1" max="2" width="43.28515625" bestFit="1" customWidth="1"/>
    <col min="3" max="4" width="41.85546875" bestFit="1" customWidth="1"/>
    <col min="5" max="6" width="42.7109375" bestFit="1" customWidth="1"/>
    <col min="7" max="8" width="40.140625" bestFit="1" customWidth="1"/>
    <col min="9" max="10" width="41.140625" bestFit="1" customWidth="1"/>
    <col min="11" max="12" width="41.7109375" bestFit="1" customWidth="1"/>
    <col min="13" max="14" width="49.140625" bestFit="1" customWidth="1"/>
    <col min="15" max="16" width="49.42578125" bestFit="1" customWidth="1"/>
    <col min="17" max="18" width="40.28515625" bestFit="1" customWidth="1"/>
    <col min="19" max="20" width="48.140625" bestFit="1" customWidth="1"/>
    <col min="21" max="22" width="43.42578125" bestFit="1" customWidth="1"/>
    <col min="23" max="24" width="41.140625" bestFit="1" customWidth="1"/>
    <col min="25" max="25" width="43.42578125" bestFit="1" customWidth="1"/>
    <col min="26" max="26" width="46.7109375" bestFit="1" customWidth="1"/>
    <col min="27" max="27" width="42.28515625" bestFit="1" customWidth="1"/>
    <col min="28" max="28" width="45.42578125" bestFit="1" customWidth="1"/>
    <col min="29" max="29" width="44.85546875" bestFit="1" customWidth="1"/>
    <col min="30" max="30" width="48.7109375" bestFit="1" customWidth="1"/>
    <col min="31" max="31" width="39.7109375" bestFit="1" customWidth="1"/>
    <col min="32" max="32" width="43" bestFit="1" customWidth="1"/>
    <col min="33" max="33" width="41.5703125" bestFit="1" customWidth="1"/>
    <col min="34" max="34" width="44.85546875" bestFit="1" customWidth="1"/>
    <col min="35" max="36" width="39.140625" bestFit="1" customWidth="1"/>
    <col min="37" max="38" width="40.28515625" bestFit="1" customWidth="1"/>
    <col min="39" max="40" width="46.5703125" bestFit="1" customWidth="1"/>
    <col min="41" max="42" width="43.140625" bestFit="1" customWidth="1"/>
    <col min="43" max="44" width="41.7109375" bestFit="1" customWidth="1"/>
    <col min="45" max="46" width="43.140625" bestFit="1" customWidth="1"/>
    <col min="47" max="48" width="46.5703125" bestFit="1" customWidth="1"/>
    <col min="49" max="50" width="42.85546875" bestFit="1" customWidth="1"/>
    <col min="51" max="52" width="45.42578125" bestFit="1" customWidth="1"/>
    <col min="53" max="54" width="41.42578125" bestFit="1" customWidth="1"/>
    <col min="55" max="56" width="40.140625" bestFit="1" customWidth="1"/>
    <col min="57" max="58" width="40.85546875" bestFit="1" customWidth="1"/>
    <col min="59" max="60" width="46.5703125" bestFit="1" customWidth="1"/>
    <col min="61" max="62" width="43" bestFit="1" customWidth="1"/>
    <col min="63" max="64" width="44.28515625" bestFit="1" customWidth="1"/>
    <col min="65" max="68" width="46.28515625" bestFit="1" customWidth="1"/>
    <col min="69" max="70" width="40.140625" bestFit="1" customWidth="1"/>
    <col min="71" max="72" width="45.85546875" bestFit="1" customWidth="1"/>
    <col min="73" max="74" width="41.5703125" bestFit="1" customWidth="1"/>
    <col min="75" max="76" width="43" bestFit="1" customWidth="1"/>
    <col min="77" max="78" width="42.28515625" bestFit="1" customWidth="1"/>
    <col min="79" max="80" width="54.5703125" bestFit="1" customWidth="1"/>
    <col min="81" max="82" width="49.85546875" bestFit="1" customWidth="1"/>
    <col min="83" max="84" width="47.42578125" bestFit="1" customWidth="1"/>
    <col min="85" max="85" width="43" bestFit="1" customWidth="1"/>
    <col min="86" max="86" width="40.140625" bestFit="1" customWidth="1"/>
  </cols>
  <sheetData>
    <row r="1" spans="1:86" x14ac:dyDescent="0.25">
      <c r="A1" s="66" t="s">
        <v>112</v>
      </c>
      <c r="B1" s="66" t="s">
        <v>113</v>
      </c>
      <c r="C1" s="66" t="s">
        <v>68</v>
      </c>
      <c r="D1" s="66" t="s">
        <v>69</v>
      </c>
      <c r="E1" s="66" t="s">
        <v>70</v>
      </c>
      <c r="F1" s="66" t="s">
        <v>71</v>
      </c>
      <c r="G1" s="66" t="s">
        <v>140</v>
      </c>
      <c r="H1" s="66" t="s">
        <v>141</v>
      </c>
      <c r="I1" s="66" t="s">
        <v>114</v>
      </c>
      <c r="J1" s="66" t="s">
        <v>115</v>
      </c>
      <c r="K1" s="66" t="s">
        <v>59</v>
      </c>
      <c r="L1" s="66" t="s">
        <v>60</v>
      </c>
      <c r="M1" s="66" t="s">
        <v>142</v>
      </c>
      <c r="N1" s="66" t="s">
        <v>143</v>
      </c>
      <c r="O1" s="66" t="s">
        <v>72</v>
      </c>
      <c r="P1" s="66" t="s">
        <v>73</v>
      </c>
      <c r="Q1" s="66" t="s">
        <v>116</v>
      </c>
      <c r="R1" s="66" t="s">
        <v>117</v>
      </c>
      <c r="S1" s="66" t="s">
        <v>144</v>
      </c>
      <c r="T1" s="66" t="s">
        <v>145</v>
      </c>
      <c r="U1" s="66" t="s">
        <v>96</v>
      </c>
      <c r="V1" s="66" t="s">
        <v>97</v>
      </c>
      <c r="W1" s="66" t="s">
        <v>74</v>
      </c>
      <c r="X1" s="66" t="s">
        <v>75</v>
      </c>
      <c r="Y1" s="66" t="s">
        <v>76</v>
      </c>
      <c r="Z1" s="66" t="s">
        <v>77</v>
      </c>
      <c r="AA1" s="66" t="s">
        <v>78</v>
      </c>
      <c r="AB1" s="66" t="s">
        <v>79</v>
      </c>
      <c r="AC1" s="66" t="s">
        <v>118</v>
      </c>
      <c r="AD1" s="66" t="s">
        <v>119</v>
      </c>
      <c r="AE1" s="66" t="s">
        <v>120</v>
      </c>
      <c r="AF1" s="66" t="s">
        <v>121</v>
      </c>
      <c r="AG1" s="66" t="s">
        <v>98</v>
      </c>
      <c r="AH1" s="66" t="s">
        <v>99</v>
      </c>
      <c r="AI1" s="66" t="s">
        <v>150</v>
      </c>
      <c r="AJ1" s="66" t="s">
        <v>151</v>
      </c>
      <c r="AK1" s="66" t="s">
        <v>122</v>
      </c>
      <c r="AL1" s="66" t="s">
        <v>123</v>
      </c>
      <c r="AM1" s="66" t="s">
        <v>82</v>
      </c>
      <c r="AN1" s="66" t="s">
        <v>83</v>
      </c>
      <c r="AO1" s="66" t="s">
        <v>124</v>
      </c>
      <c r="AP1" s="66" t="s">
        <v>125</v>
      </c>
      <c r="AQ1" s="66" t="s">
        <v>146</v>
      </c>
      <c r="AR1" s="66" t="s">
        <v>147</v>
      </c>
      <c r="AS1" s="66" t="s">
        <v>100</v>
      </c>
      <c r="AT1" s="66" t="s">
        <v>101</v>
      </c>
      <c r="AU1" s="66" t="s">
        <v>84</v>
      </c>
      <c r="AV1" s="66" t="s">
        <v>85</v>
      </c>
      <c r="AW1" s="66" t="s">
        <v>126</v>
      </c>
      <c r="AX1" s="66" t="s">
        <v>127</v>
      </c>
      <c r="AY1" s="66" t="s">
        <v>128</v>
      </c>
      <c r="AZ1" s="66" t="s">
        <v>129</v>
      </c>
      <c r="BA1" s="66" t="s">
        <v>86</v>
      </c>
      <c r="BB1" s="66" t="s">
        <v>87</v>
      </c>
      <c r="BC1" s="66" t="s">
        <v>102</v>
      </c>
      <c r="BD1" s="66" t="s">
        <v>103</v>
      </c>
      <c r="BE1" s="66" t="s">
        <v>130</v>
      </c>
      <c r="BF1" s="66" t="s">
        <v>131</v>
      </c>
      <c r="BG1" s="66" t="s">
        <v>104</v>
      </c>
      <c r="BH1" s="66" t="s">
        <v>105</v>
      </c>
      <c r="BI1" s="66" t="s">
        <v>88</v>
      </c>
      <c r="BJ1" s="66" t="s">
        <v>89</v>
      </c>
      <c r="BK1" s="66" t="s">
        <v>132</v>
      </c>
      <c r="BL1" s="66" t="s">
        <v>133</v>
      </c>
      <c r="BM1" s="66" t="s">
        <v>106</v>
      </c>
      <c r="BN1" s="66" t="s">
        <v>107</v>
      </c>
      <c r="BO1" s="66" t="s">
        <v>134</v>
      </c>
      <c r="BP1" s="66" t="s">
        <v>135</v>
      </c>
      <c r="BQ1" s="66" t="s">
        <v>90</v>
      </c>
      <c r="BR1" s="66" t="s">
        <v>91</v>
      </c>
      <c r="BS1" s="66" t="s">
        <v>92</v>
      </c>
      <c r="BT1" s="66" t="s">
        <v>93</v>
      </c>
      <c r="BU1" s="66" t="s">
        <v>136</v>
      </c>
      <c r="BV1" s="66" t="s">
        <v>137</v>
      </c>
      <c r="BW1" s="66" t="s">
        <v>138</v>
      </c>
      <c r="BX1" s="66" t="s">
        <v>139</v>
      </c>
      <c r="BY1" s="66" t="s">
        <v>94</v>
      </c>
      <c r="BZ1" s="66" t="s">
        <v>95</v>
      </c>
      <c r="CA1" s="66" t="s">
        <v>108</v>
      </c>
      <c r="CB1" s="66" t="s">
        <v>109</v>
      </c>
      <c r="CC1" s="66" t="s">
        <v>110</v>
      </c>
      <c r="CD1" s="66" t="s">
        <v>111</v>
      </c>
      <c r="CE1" s="66" t="s">
        <v>66</v>
      </c>
      <c r="CF1" s="66" t="s">
        <v>67</v>
      </c>
      <c r="CG1" t="s">
        <v>708</v>
      </c>
      <c r="CH1" t="s">
        <v>709</v>
      </c>
    </row>
    <row r="2" spans="1:86" x14ac:dyDescent="0.25">
      <c r="A2" s="54" t="s">
        <v>645</v>
      </c>
      <c r="B2" s="54" t="s">
        <v>645</v>
      </c>
      <c r="C2" s="54" t="s">
        <v>645</v>
      </c>
      <c r="D2" s="54" t="s">
        <v>645</v>
      </c>
      <c r="E2" s="54" t="s">
        <v>645</v>
      </c>
      <c r="F2" s="54" t="s">
        <v>645</v>
      </c>
      <c r="G2" s="54" t="s">
        <v>645</v>
      </c>
      <c r="H2" s="54" t="s">
        <v>645</v>
      </c>
      <c r="I2" s="54" t="s">
        <v>645</v>
      </c>
      <c r="J2" s="54" t="s">
        <v>645</v>
      </c>
      <c r="K2" s="54" t="s">
        <v>645</v>
      </c>
      <c r="L2" s="54" t="s">
        <v>645</v>
      </c>
      <c r="M2" s="54" t="s">
        <v>645</v>
      </c>
      <c r="N2" s="54" t="s">
        <v>645</v>
      </c>
      <c r="O2" s="54" t="s">
        <v>645</v>
      </c>
      <c r="P2" s="54" t="s">
        <v>645</v>
      </c>
      <c r="Q2" s="54" t="s">
        <v>645</v>
      </c>
      <c r="R2" s="54" t="s">
        <v>645</v>
      </c>
      <c r="S2" s="54" t="s">
        <v>645</v>
      </c>
      <c r="T2" s="54" t="s">
        <v>645</v>
      </c>
      <c r="U2" s="54" t="s">
        <v>645</v>
      </c>
      <c r="V2" s="54" t="s">
        <v>645</v>
      </c>
      <c r="W2" s="54" t="s">
        <v>645</v>
      </c>
      <c r="X2" s="54" t="s">
        <v>645</v>
      </c>
      <c r="Y2" s="54" t="s">
        <v>645</v>
      </c>
      <c r="Z2" s="54" t="s">
        <v>645</v>
      </c>
      <c r="AA2" s="54" t="s">
        <v>645</v>
      </c>
      <c r="AB2" s="54" t="s">
        <v>645</v>
      </c>
      <c r="AC2" s="54" t="s">
        <v>645</v>
      </c>
      <c r="AD2" s="54" t="s">
        <v>645</v>
      </c>
      <c r="AE2" s="54" t="s">
        <v>645</v>
      </c>
      <c r="AF2" s="54" t="s">
        <v>645</v>
      </c>
      <c r="AG2" s="54" t="s">
        <v>645</v>
      </c>
      <c r="AH2" s="54" t="s">
        <v>645</v>
      </c>
      <c r="AI2" s="54" t="s">
        <v>645</v>
      </c>
      <c r="AJ2" s="54" t="s">
        <v>645</v>
      </c>
      <c r="AK2" s="54" t="s">
        <v>645</v>
      </c>
      <c r="AL2" s="54" t="s">
        <v>645</v>
      </c>
      <c r="AM2" s="54" t="s">
        <v>645</v>
      </c>
      <c r="AN2" s="54" t="s">
        <v>645</v>
      </c>
      <c r="AO2" s="54" t="s">
        <v>645</v>
      </c>
      <c r="AP2" s="54" t="s">
        <v>645</v>
      </c>
      <c r="AQ2" s="54" t="s">
        <v>645</v>
      </c>
      <c r="AR2" s="54" t="s">
        <v>645</v>
      </c>
      <c r="AS2" s="54" t="s">
        <v>645</v>
      </c>
      <c r="AT2" s="54" t="s">
        <v>645</v>
      </c>
      <c r="AU2" s="54" t="s">
        <v>645</v>
      </c>
      <c r="AV2" s="54" t="s">
        <v>645</v>
      </c>
      <c r="AW2" s="54" t="s">
        <v>645</v>
      </c>
      <c r="AX2" s="54" t="s">
        <v>645</v>
      </c>
      <c r="AY2" s="54" t="s">
        <v>645</v>
      </c>
      <c r="AZ2" s="54" t="s">
        <v>645</v>
      </c>
      <c r="BA2" s="54" t="s">
        <v>645</v>
      </c>
      <c r="BB2" s="54" t="s">
        <v>645</v>
      </c>
      <c r="BC2" s="54" t="s">
        <v>645</v>
      </c>
      <c r="BD2" s="54" t="s">
        <v>645</v>
      </c>
      <c r="BE2" s="54" t="s">
        <v>645</v>
      </c>
      <c r="BF2" s="54" t="s">
        <v>645</v>
      </c>
      <c r="BG2" s="54" t="s">
        <v>645</v>
      </c>
      <c r="BH2" s="54" t="s">
        <v>645</v>
      </c>
      <c r="BI2" s="54" t="s">
        <v>645</v>
      </c>
      <c r="BJ2" s="54" t="s">
        <v>645</v>
      </c>
      <c r="BK2" s="54" t="s">
        <v>645</v>
      </c>
      <c r="BL2" s="54" t="s">
        <v>645</v>
      </c>
      <c r="BM2" s="54" t="s">
        <v>645</v>
      </c>
      <c r="BN2" s="54" t="s">
        <v>645</v>
      </c>
      <c r="BO2" s="54" t="s">
        <v>645</v>
      </c>
      <c r="BP2" s="54" t="s">
        <v>645</v>
      </c>
      <c r="BQ2" s="54" t="s">
        <v>645</v>
      </c>
      <c r="BR2" s="54" t="s">
        <v>645</v>
      </c>
      <c r="BS2" s="54" t="s">
        <v>645</v>
      </c>
      <c r="BT2" s="54" t="s">
        <v>645</v>
      </c>
      <c r="BU2" s="54" t="s">
        <v>645</v>
      </c>
      <c r="BV2" s="54" t="s">
        <v>645</v>
      </c>
      <c r="BW2" s="54" t="s">
        <v>645</v>
      </c>
      <c r="BX2" s="54" t="s">
        <v>645</v>
      </c>
      <c r="BY2" s="54" t="s">
        <v>645</v>
      </c>
      <c r="BZ2" s="54" t="s">
        <v>645</v>
      </c>
      <c r="CA2" s="54" t="s">
        <v>645</v>
      </c>
      <c r="CB2" s="54" t="s">
        <v>645</v>
      </c>
      <c r="CC2" s="54" t="s">
        <v>645</v>
      </c>
      <c r="CD2" s="54" t="s">
        <v>645</v>
      </c>
      <c r="CE2" s="54" t="s">
        <v>645</v>
      </c>
      <c r="CF2" s="54" t="s">
        <v>645</v>
      </c>
      <c r="CG2" s="54" t="s">
        <v>645</v>
      </c>
      <c r="CH2" s="54" t="s">
        <v>645</v>
      </c>
    </row>
    <row r="3" spans="1:86" x14ac:dyDescent="0.25">
      <c r="A3" t="s">
        <v>160</v>
      </c>
      <c r="B3" s="66" t="s">
        <v>156</v>
      </c>
      <c r="C3" s="66" t="s">
        <v>168</v>
      </c>
      <c r="D3" s="66" t="s">
        <v>167</v>
      </c>
      <c r="E3" s="66" t="s">
        <v>175</v>
      </c>
      <c r="F3" s="66" t="s">
        <v>174</v>
      </c>
      <c r="G3" t="s">
        <v>182</v>
      </c>
      <c r="H3" s="66" t="s">
        <v>181</v>
      </c>
      <c r="I3" t="s">
        <v>188</v>
      </c>
      <c r="J3" s="66" t="s">
        <v>187</v>
      </c>
      <c r="K3" s="66" t="s">
        <v>192</v>
      </c>
      <c r="L3" s="66" t="s">
        <v>196</v>
      </c>
      <c r="M3" t="s">
        <v>199</v>
      </c>
      <c r="N3" s="66" t="s">
        <v>198</v>
      </c>
      <c r="O3" t="s">
        <v>205</v>
      </c>
      <c r="P3" s="66" t="s">
        <v>204</v>
      </c>
      <c r="Q3" t="s">
        <v>212</v>
      </c>
      <c r="R3" s="66" t="s">
        <v>211</v>
      </c>
      <c r="S3" s="66" t="s">
        <v>216</v>
      </c>
      <c r="T3" s="66"/>
      <c r="U3" s="66" t="s">
        <v>678</v>
      </c>
      <c r="V3" t="s">
        <v>217</v>
      </c>
      <c r="W3" t="s">
        <v>223</v>
      </c>
      <c r="X3" s="66" t="s">
        <v>222</v>
      </c>
      <c r="Y3" t="s">
        <v>229</v>
      </c>
      <c r="Z3" s="66" t="s">
        <v>228</v>
      </c>
      <c r="AA3" t="s">
        <v>236</v>
      </c>
      <c r="AB3" s="66" t="s">
        <v>235</v>
      </c>
      <c r="AC3" t="s">
        <v>243</v>
      </c>
      <c r="AD3" s="66" t="s">
        <v>242</v>
      </c>
      <c r="AE3" t="s">
        <v>249</v>
      </c>
      <c r="AF3" s="66" t="s">
        <v>248</v>
      </c>
      <c r="AG3" t="s">
        <v>254</v>
      </c>
      <c r="AH3" s="66" t="s">
        <v>219</v>
      </c>
      <c r="AI3" t="s">
        <v>261</v>
      </c>
      <c r="AJ3" s="66" t="s">
        <v>260</v>
      </c>
      <c r="AK3" t="s">
        <v>267</v>
      </c>
      <c r="AL3" s="66" t="s">
        <v>266</v>
      </c>
      <c r="AM3" t="s">
        <v>272</v>
      </c>
      <c r="AN3" s="66" t="s">
        <v>271</v>
      </c>
      <c r="AO3" t="s">
        <v>278</v>
      </c>
      <c r="AP3" s="66" t="s">
        <v>277</v>
      </c>
      <c r="AQ3" t="s">
        <v>283</v>
      </c>
      <c r="AR3" s="66" t="s">
        <v>282</v>
      </c>
      <c r="AS3" t="s">
        <v>289</v>
      </c>
      <c r="AT3" s="66" t="s">
        <v>288</v>
      </c>
      <c r="AU3" t="s">
        <v>298</v>
      </c>
      <c r="AV3" s="66" t="s">
        <v>297</v>
      </c>
      <c r="AW3" s="66"/>
      <c r="AX3" s="66"/>
      <c r="AY3" t="s">
        <v>305</v>
      </c>
      <c r="AZ3" s="66" t="s">
        <v>304</v>
      </c>
      <c r="BA3" t="s">
        <v>311</v>
      </c>
      <c r="BB3" s="66" t="s">
        <v>310</v>
      </c>
      <c r="BC3" t="s">
        <v>317</v>
      </c>
      <c r="BD3" s="66" t="s">
        <v>316</v>
      </c>
      <c r="BE3" t="s">
        <v>322</v>
      </c>
      <c r="BF3" s="66" t="s">
        <v>321</v>
      </c>
      <c r="BG3" t="s">
        <v>702</v>
      </c>
      <c r="BH3" s="66" t="s">
        <v>701</v>
      </c>
      <c r="BI3" t="s">
        <v>329</v>
      </c>
      <c r="BJ3" s="66" t="s">
        <v>328</v>
      </c>
      <c r="BK3" t="s">
        <v>336</v>
      </c>
      <c r="BL3" s="66" t="s">
        <v>335</v>
      </c>
      <c r="BM3" t="s">
        <v>342</v>
      </c>
      <c r="BN3" s="66" t="s">
        <v>341</v>
      </c>
      <c r="BO3" t="s">
        <v>349</v>
      </c>
      <c r="BP3" s="66" t="s">
        <v>348</v>
      </c>
      <c r="BQ3" t="s">
        <v>355</v>
      </c>
      <c r="BR3" s="66" t="s">
        <v>354</v>
      </c>
      <c r="BS3" t="s">
        <v>360</v>
      </c>
      <c r="BT3" s="66" t="s">
        <v>359</v>
      </c>
      <c r="BU3" t="s">
        <v>367</v>
      </c>
      <c r="BV3" s="66" t="s">
        <v>366</v>
      </c>
      <c r="BW3" t="s">
        <v>373</v>
      </c>
      <c r="BX3" s="66" t="s">
        <v>372</v>
      </c>
      <c r="BY3" t="s">
        <v>378</v>
      </c>
      <c r="BZ3" s="66" t="s">
        <v>377</v>
      </c>
      <c r="CA3" t="s">
        <v>384</v>
      </c>
      <c r="CB3" s="66" t="s">
        <v>679</v>
      </c>
      <c r="CC3" t="s">
        <v>389</v>
      </c>
      <c r="CD3" t="s">
        <v>388</v>
      </c>
      <c r="CE3" s="66" t="s">
        <v>295</v>
      </c>
      <c r="CF3" s="66" t="s">
        <v>295</v>
      </c>
      <c r="CG3" s="67" t="s">
        <v>710</v>
      </c>
      <c r="CH3" s="67" t="s">
        <v>711</v>
      </c>
    </row>
    <row r="4" spans="1:86" x14ac:dyDescent="0.25">
      <c r="A4" t="s">
        <v>161</v>
      </c>
      <c r="B4" s="66" t="s">
        <v>661</v>
      </c>
      <c r="C4" t="s">
        <v>169</v>
      </c>
      <c r="D4" s="66" t="s">
        <v>171</v>
      </c>
      <c r="E4" t="s">
        <v>176</v>
      </c>
      <c r="F4" s="66" t="s">
        <v>178</v>
      </c>
      <c r="G4" t="s">
        <v>183</v>
      </c>
      <c r="H4" s="66" t="s">
        <v>184</v>
      </c>
      <c r="I4" t="s">
        <v>189</v>
      </c>
      <c r="J4" s="66" t="s">
        <v>663</v>
      </c>
      <c r="K4" t="s">
        <v>193</v>
      </c>
      <c r="L4" s="66" t="s">
        <v>197</v>
      </c>
      <c r="M4" t="s">
        <v>200</v>
      </c>
      <c r="N4" s="66" t="s">
        <v>201</v>
      </c>
      <c r="O4" t="s">
        <v>206</v>
      </c>
      <c r="P4" t="s">
        <v>208</v>
      </c>
      <c r="Q4" t="s">
        <v>680</v>
      </c>
      <c r="R4" t="s">
        <v>665</v>
      </c>
      <c r="S4" s="66"/>
      <c r="T4" s="66"/>
      <c r="U4" s="66" t="s">
        <v>660</v>
      </c>
      <c r="V4" t="s">
        <v>218</v>
      </c>
      <c r="W4" t="s">
        <v>224</v>
      </c>
      <c r="X4" s="66" t="s">
        <v>225</v>
      </c>
      <c r="Y4" t="s">
        <v>230</v>
      </c>
      <c r="Z4" s="66" t="s">
        <v>232</v>
      </c>
      <c r="AA4" t="s">
        <v>237</v>
      </c>
      <c r="AB4" s="66" t="s">
        <v>239</v>
      </c>
      <c r="AC4" t="s">
        <v>244</v>
      </c>
      <c r="AD4" s="66" t="s">
        <v>666</v>
      </c>
      <c r="AE4" t="s">
        <v>681</v>
      </c>
      <c r="AF4" s="66" t="s">
        <v>667</v>
      </c>
      <c r="AG4" t="s">
        <v>255</v>
      </c>
      <c r="AH4" s="66" t="s">
        <v>221</v>
      </c>
      <c r="AI4" t="s">
        <v>682</v>
      </c>
      <c r="AJ4" s="66" t="s">
        <v>263</v>
      </c>
      <c r="AK4" t="s">
        <v>683</v>
      </c>
      <c r="AL4" s="66" t="s">
        <v>668</v>
      </c>
      <c r="AM4" t="s">
        <v>273</v>
      </c>
      <c r="AN4" s="66" t="s">
        <v>275</v>
      </c>
      <c r="AO4" t="s">
        <v>279</v>
      </c>
      <c r="AP4" s="66" t="s">
        <v>669</v>
      </c>
      <c r="AQ4" t="s">
        <v>284</v>
      </c>
      <c r="AR4" s="66" t="s">
        <v>285</v>
      </c>
      <c r="AS4" t="s">
        <v>290</v>
      </c>
      <c r="AT4" s="66" t="s">
        <v>292</v>
      </c>
      <c r="AU4" t="s">
        <v>299</v>
      </c>
      <c r="AV4" s="66" t="s">
        <v>301</v>
      </c>
      <c r="AW4" s="66"/>
      <c r="AX4" s="66"/>
      <c r="AY4" t="s">
        <v>306</v>
      </c>
      <c r="AZ4" s="66" t="s">
        <v>670</v>
      </c>
      <c r="BA4" t="s">
        <v>312</v>
      </c>
      <c r="BB4" s="66" t="s">
        <v>313</v>
      </c>
      <c r="BC4" t="s">
        <v>319</v>
      </c>
      <c r="BD4" s="66" t="s">
        <v>318</v>
      </c>
      <c r="BE4" t="s">
        <v>323</v>
      </c>
      <c r="BF4" s="66" t="s">
        <v>324</v>
      </c>
      <c r="BG4" t="s">
        <v>703</v>
      </c>
      <c r="BH4" s="66" t="s">
        <v>327</v>
      </c>
      <c r="BI4" t="s">
        <v>330</v>
      </c>
      <c r="BJ4" s="66" t="s">
        <v>332</v>
      </c>
      <c r="BK4" t="s">
        <v>337</v>
      </c>
      <c r="BL4" s="66" t="s">
        <v>671</v>
      </c>
      <c r="BM4" t="s">
        <v>343</v>
      </c>
      <c r="BN4" s="66" t="s">
        <v>345</v>
      </c>
      <c r="BO4" t="s">
        <v>350</v>
      </c>
      <c r="BP4" s="66" t="s">
        <v>672</v>
      </c>
      <c r="BQ4" t="s">
        <v>356</v>
      </c>
      <c r="BR4" s="66" t="s">
        <v>357</v>
      </c>
      <c r="BS4" t="s">
        <v>361</v>
      </c>
      <c r="BT4" s="66" t="s">
        <v>363</v>
      </c>
      <c r="BU4" t="s">
        <v>368</v>
      </c>
      <c r="BV4" s="66" t="s">
        <v>673</v>
      </c>
      <c r="BW4" t="s">
        <v>374</v>
      </c>
      <c r="BX4" s="66" t="s">
        <v>674</v>
      </c>
      <c r="BY4" t="s">
        <v>379</v>
      </c>
      <c r="BZ4" s="66" t="s">
        <v>381</v>
      </c>
      <c r="CA4" t="s">
        <v>385</v>
      </c>
      <c r="CB4" s="66" t="s">
        <v>684</v>
      </c>
      <c r="CC4" t="s">
        <v>390</v>
      </c>
      <c r="CD4" t="s">
        <v>675</v>
      </c>
      <c r="CE4" s="66" t="s">
        <v>397</v>
      </c>
      <c r="CF4" s="66" t="s">
        <v>402</v>
      </c>
      <c r="CG4" s="67" t="s">
        <v>712</v>
      </c>
      <c r="CH4" s="67" t="s">
        <v>713</v>
      </c>
    </row>
    <row r="5" spans="1:86" x14ac:dyDescent="0.25">
      <c r="A5" t="s">
        <v>162</v>
      </c>
      <c r="B5" s="66" t="s">
        <v>166</v>
      </c>
      <c r="C5" t="s">
        <v>170</v>
      </c>
      <c r="D5" s="66" t="s">
        <v>173</v>
      </c>
      <c r="E5" t="s">
        <v>177</v>
      </c>
      <c r="F5" s="66" t="s">
        <v>180</v>
      </c>
      <c r="G5" t="s">
        <v>685</v>
      </c>
      <c r="H5" s="66" t="s">
        <v>186</v>
      </c>
      <c r="I5" t="s">
        <v>686</v>
      </c>
      <c r="J5" s="66" t="s">
        <v>191</v>
      </c>
      <c r="K5" t="s">
        <v>195</v>
      </c>
      <c r="L5" s="66"/>
      <c r="M5" t="s">
        <v>687</v>
      </c>
      <c r="N5" s="66" t="s">
        <v>203</v>
      </c>
      <c r="O5" t="s">
        <v>207</v>
      </c>
      <c r="P5" t="s">
        <v>210</v>
      </c>
      <c r="Q5" t="s">
        <v>213</v>
      </c>
      <c r="R5" t="s">
        <v>215</v>
      </c>
      <c r="S5" s="66"/>
      <c r="T5" s="66"/>
      <c r="U5" s="66"/>
      <c r="W5" t="s">
        <v>688</v>
      </c>
      <c r="X5" s="66" t="s">
        <v>227</v>
      </c>
      <c r="Y5" t="s">
        <v>231</v>
      </c>
      <c r="Z5" s="66" t="s">
        <v>234</v>
      </c>
      <c r="AA5" t="s">
        <v>238</v>
      </c>
      <c r="AB5" s="66" t="s">
        <v>241</v>
      </c>
      <c r="AC5" t="s">
        <v>245</v>
      </c>
      <c r="AD5" s="66" t="s">
        <v>247</v>
      </c>
      <c r="AE5" t="s">
        <v>250</v>
      </c>
      <c r="AF5" s="66" t="s">
        <v>252</v>
      </c>
      <c r="AG5" t="s">
        <v>256</v>
      </c>
      <c r="AH5" t="s">
        <v>253</v>
      </c>
      <c r="AI5" t="s">
        <v>262</v>
      </c>
      <c r="AJ5" s="66" t="s">
        <v>265</v>
      </c>
      <c r="AK5" t="s">
        <v>268</v>
      </c>
      <c r="AL5" s="66" t="s">
        <v>270</v>
      </c>
      <c r="AM5" t="s">
        <v>274</v>
      </c>
      <c r="AN5" s="66" t="s">
        <v>276</v>
      </c>
      <c r="AO5" t="s">
        <v>280</v>
      </c>
      <c r="AP5" s="66" t="s">
        <v>281</v>
      </c>
      <c r="AQ5" t="s">
        <v>689</v>
      </c>
      <c r="AR5" s="66" t="s">
        <v>287</v>
      </c>
      <c r="AS5" t="s">
        <v>291</v>
      </c>
      <c r="AT5" s="66" t="s">
        <v>294</v>
      </c>
      <c r="AU5" t="s">
        <v>300</v>
      </c>
      <c r="AV5" s="66" t="s">
        <v>303</v>
      </c>
      <c r="AW5" s="66"/>
      <c r="AX5" s="66"/>
      <c r="AY5" t="s">
        <v>307</v>
      </c>
      <c r="AZ5" s="66" t="s">
        <v>309</v>
      </c>
      <c r="BA5" t="s">
        <v>690</v>
      </c>
      <c r="BB5" s="66" t="s">
        <v>315</v>
      </c>
      <c r="BC5" s="66"/>
      <c r="BD5" s="66" t="s">
        <v>320</v>
      </c>
      <c r="BE5" t="s">
        <v>691</v>
      </c>
      <c r="BF5" s="66" t="s">
        <v>326</v>
      </c>
      <c r="BG5" s="66"/>
      <c r="BH5" s="66"/>
      <c r="BI5" t="s">
        <v>331</v>
      </c>
      <c r="BJ5" s="66" t="s">
        <v>334</v>
      </c>
      <c r="BK5" t="s">
        <v>338</v>
      </c>
      <c r="BL5" s="66" t="s">
        <v>340</v>
      </c>
      <c r="BM5" t="s">
        <v>344</v>
      </c>
      <c r="BN5" s="66" t="s">
        <v>347</v>
      </c>
      <c r="BO5" t="s">
        <v>351</v>
      </c>
      <c r="BP5" s="66" t="s">
        <v>353</v>
      </c>
      <c r="BQ5" t="s">
        <v>692</v>
      </c>
      <c r="BR5" s="66" t="s">
        <v>358</v>
      </c>
      <c r="BS5" t="s">
        <v>362</v>
      </c>
      <c r="BT5" s="66" t="s">
        <v>365</v>
      </c>
      <c r="BU5" t="s">
        <v>693</v>
      </c>
      <c r="BV5" s="66" t="s">
        <v>370</v>
      </c>
      <c r="BW5" t="s">
        <v>375</v>
      </c>
      <c r="BX5" s="66" t="s">
        <v>376</v>
      </c>
      <c r="BY5" t="s">
        <v>380</v>
      </c>
      <c r="BZ5" s="66" t="s">
        <v>383</v>
      </c>
      <c r="CA5" t="s">
        <v>386</v>
      </c>
      <c r="CB5" s="66" t="s">
        <v>387</v>
      </c>
      <c r="CC5" t="s">
        <v>694</v>
      </c>
      <c r="CD5" t="s">
        <v>391</v>
      </c>
      <c r="CE5" t="s">
        <v>398</v>
      </c>
      <c r="CF5" s="66" t="s">
        <v>403</v>
      </c>
      <c r="CG5" s="67" t="s">
        <v>714</v>
      </c>
    </row>
    <row r="6" spans="1:86" x14ac:dyDescent="0.25">
      <c r="A6" t="s">
        <v>165</v>
      </c>
      <c r="B6" s="66" t="s">
        <v>152</v>
      </c>
      <c r="C6" t="s">
        <v>172</v>
      </c>
      <c r="D6" s="66"/>
      <c r="E6" t="s">
        <v>179</v>
      </c>
      <c r="F6" s="66"/>
      <c r="G6" t="s">
        <v>185</v>
      </c>
      <c r="H6" s="66"/>
      <c r="I6" t="s">
        <v>190</v>
      </c>
      <c r="J6" s="66"/>
      <c r="K6" s="66"/>
      <c r="L6" s="66"/>
      <c r="M6" t="s">
        <v>202</v>
      </c>
      <c r="N6" s="66"/>
      <c r="O6" t="s">
        <v>209</v>
      </c>
      <c r="P6" s="66"/>
      <c r="Q6" t="s">
        <v>214</v>
      </c>
      <c r="R6" s="66"/>
      <c r="S6" s="66"/>
      <c r="T6" s="66"/>
      <c r="U6" s="66"/>
      <c r="V6" s="66"/>
      <c r="W6" t="s">
        <v>226</v>
      </c>
      <c r="X6" s="66"/>
      <c r="Y6" t="s">
        <v>233</v>
      </c>
      <c r="Z6" s="66"/>
      <c r="AA6" t="s">
        <v>240</v>
      </c>
      <c r="AB6" s="66"/>
      <c r="AC6" t="s">
        <v>246</v>
      </c>
      <c r="AD6" s="66"/>
      <c r="AE6" t="s">
        <v>251</v>
      </c>
      <c r="AF6" s="66"/>
      <c r="AG6" t="s">
        <v>258</v>
      </c>
      <c r="AH6" t="s">
        <v>257</v>
      </c>
      <c r="AI6" t="s">
        <v>264</v>
      </c>
      <c r="AJ6" s="66"/>
      <c r="AK6" t="s">
        <v>269</v>
      </c>
      <c r="AL6" s="66"/>
      <c r="AM6" t="s">
        <v>695</v>
      </c>
      <c r="AN6" s="66"/>
      <c r="AO6" t="s">
        <v>696</v>
      </c>
      <c r="AP6" s="66"/>
      <c r="AQ6" t="s">
        <v>286</v>
      </c>
      <c r="AR6" s="66"/>
      <c r="AS6" t="s">
        <v>293</v>
      </c>
      <c r="AT6" s="66"/>
      <c r="AU6" t="s">
        <v>302</v>
      </c>
      <c r="AV6" s="66"/>
      <c r="AW6" s="66"/>
      <c r="AX6" s="66"/>
      <c r="AY6" t="s">
        <v>308</v>
      </c>
      <c r="AZ6" s="66"/>
      <c r="BA6" t="s">
        <v>314</v>
      </c>
      <c r="BB6" s="66"/>
      <c r="BC6" s="66"/>
      <c r="BD6" s="66"/>
      <c r="BE6" t="s">
        <v>325</v>
      </c>
      <c r="BF6" s="66"/>
      <c r="BG6" s="66"/>
      <c r="BH6" s="66"/>
      <c r="BI6" t="s">
        <v>333</v>
      </c>
      <c r="BJ6" s="66"/>
      <c r="BK6" t="s">
        <v>339</v>
      </c>
      <c r="BL6" s="66"/>
      <c r="BM6" t="s">
        <v>346</v>
      </c>
      <c r="BN6" s="66"/>
      <c r="BO6" t="s">
        <v>352</v>
      </c>
      <c r="BP6" s="66"/>
      <c r="BQ6" t="s">
        <v>697</v>
      </c>
      <c r="BR6" s="66"/>
      <c r="BS6" t="s">
        <v>364</v>
      </c>
      <c r="BT6" s="66"/>
      <c r="BU6" t="s">
        <v>369</v>
      </c>
      <c r="BV6" s="66"/>
      <c r="BW6" t="s">
        <v>698</v>
      </c>
      <c r="BX6" s="66"/>
      <c r="BY6" t="s">
        <v>382</v>
      </c>
      <c r="BZ6" s="66"/>
      <c r="CA6" t="s">
        <v>699</v>
      </c>
      <c r="CB6" s="66"/>
      <c r="CC6" t="s">
        <v>392</v>
      </c>
      <c r="CD6" t="s">
        <v>393</v>
      </c>
      <c r="CE6" t="s">
        <v>400</v>
      </c>
      <c r="CF6" s="66" t="s">
        <v>404</v>
      </c>
    </row>
    <row r="7" spans="1:86" x14ac:dyDescent="0.25">
      <c r="A7" s="66"/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t="s">
        <v>259</v>
      </c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 t="s">
        <v>394</v>
      </c>
      <c r="CE7" s="66" t="s">
        <v>401</v>
      </c>
      <c r="CF7" s="66" t="s">
        <v>408</v>
      </c>
    </row>
    <row r="8" spans="1:86" x14ac:dyDescent="0.25">
      <c r="A8" s="66"/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t="s">
        <v>395</v>
      </c>
      <c r="CE8" s="66"/>
      <c r="CF8" s="66"/>
    </row>
    <row r="9" spans="1:86" x14ac:dyDescent="0.25">
      <c r="A9" s="66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 t="s">
        <v>396</v>
      </c>
      <c r="CE9" s="66"/>
      <c r="CF9" s="66"/>
    </row>
    <row r="10" spans="1:86" x14ac:dyDescent="0.25">
      <c r="A10" s="66"/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 t="s">
        <v>700</v>
      </c>
      <c r="CE10" s="66"/>
      <c r="CF10" s="66"/>
    </row>
    <row r="12" spans="1:86" s="8" customFormat="1" x14ac:dyDescent="0.25"/>
    <row r="15" spans="1:86" x14ac:dyDescent="0.25">
      <c r="A15" t="s">
        <v>525</v>
      </c>
      <c r="B15" t="s">
        <v>483</v>
      </c>
      <c r="C15" t="s">
        <v>526</v>
      </c>
      <c r="D15" t="s">
        <v>484</v>
      </c>
      <c r="E15" t="s">
        <v>527</v>
      </c>
      <c r="F15" t="s">
        <v>485</v>
      </c>
      <c r="G15" t="s">
        <v>528</v>
      </c>
      <c r="H15" t="s">
        <v>486</v>
      </c>
      <c r="I15" t="s">
        <v>529</v>
      </c>
      <c r="J15" t="s">
        <v>487</v>
      </c>
      <c r="K15" t="s">
        <v>530</v>
      </c>
      <c r="L15" t="s">
        <v>488</v>
      </c>
      <c r="M15" t="s">
        <v>531</v>
      </c>
      <c r="N15" t="s">
        <v>489</v>
      </c>
      <c r="O15" t="s">
        <v>532</v>
      </c>
      <c r="P15" t="s">
        <v>490</v>
      </c>
      <c r="Q15" t="s">
        <v>533</v>
      </c>
      <c r="R15" t="s">
        <v>491</v>
      </c>
      <c r="S15" t="s">
        <v>492</v>
      </c>
      <c r="T15" t="s">
        <v>493</v>
      </c>
      <c r="U15" t="s">
        <v>534</v>
      </c>
      <c r="V15" t="s">
        <v>494</v>
      </c>
      <c r="W15" t="s">
        <v>535</v>
      </c>
      <c r="X15" t="s">
        <v>495</v>
      </c>
      <c r="Y15" t="s">
        <v>536</v>
      </c>
      <c r="Z15" t="s">
        <v>496</v>
      </c>
      <c r="AA15" t="s">
        <v>537</v>
      </c>
      <c r="AB15" t="s">
        <v>497</v>
      </c>
      <c r="AC15" t="s">
        <v>538</v>
      </c>
      <c r="AD15" t="s">
        <v>498</v>
      </c>
      <c r="AE15" t="s">
        <v>539</v>
      </c>
      <c r="AF15" t="s">
        <v>499</v>
      </c>
      <c r="AG15" t="s">
        <v>540</v>
      </c>
      <c r="AH15" t="s">
        <v>500</v>
      </c>
      <c r="AI15" t="s">
        <v>542</v>
      </c>
      <c r="AJ15" t="s">
        <v>501</v>
      </c>
      <c r="AK15" t="s">
        <v>541</v>
      </c>
      <c r="AL15" t="s">
        <v>502</v>
      </c>
      <c r="AM15" t="s">
        <v>543</v>
      </c>
      <c r="AN15" t="s">
        <v>503</v>
      </c>
      <c r="AO15" t="s">
        <v>544</v>
      </c>
      <c r="AP15" t="s">
        <v>504</v>
      </c>
      <c r="AQ15" t="s">
        <v>545</v>
      </c>
      <c r="AR15" t="s">
        <v>505</v>
      </c>
      <c r="AS15" t="s">
        <v>546</v>
      </c>
      <c r="AT15" t="s">
        <v>506</v>
      </c>
      <c r="AU15" t="s">
        <v>547</v>
      </c>
      <c r="AV15" t="s">
        <v>507</v>
      </c>
      <c r="AW15" t="s">
        <v>548</v>
      </c>
      <c r="AX15" t="s">
        <v>508</v>
      </c>
      <c r="AY15" t="s">
        <v>549</v>
      </c>
      <c r="AZ15" t="s">
        <v>509</v>
      </c>
      <c r="BA15" t="s">
        <v>550</v>
      </c>
      <c r="BB15" t="s">
        <v>510</v>
      </c>
      <c r="BC15" t="s">
        <v>551</v>
      </c>
      <c r="BD15" t="s">
        <v>511</v>
      </c>
      <c r="BE15" t="s">
        <v>552</v>
      </c>
      <c r="BF15" t="s">
        <v>512</v>
      </c>
      <c r="BG15" t="s">
        <v>553</v>
      </c>
      <c r="BH15" t="s">
        <v>514</v>
      </c>
      <c r="BI15" t="s">
        <v>554</v>
      </c>
      <c r="BJ15" t="s">
        <v>513</v>
      </c>
      <c r="BK15" t="s">
        <v>555</v>
      </c>
      <c r="BL15" t="s">
        <v>515</v>
      </c>
      <c r="BM15" t="s">
        <v>556</v>
      </c>
      <c r="BN15" t="s">
        <v>516</v>
      </c>
      <c r="BO15" t="s">
        <v>557</v>
      </c>
      <c r="BP15" t="s">
        <v>517</v>
      </c>
      <c r="BQ15" t="s">
        <v>558</v>
      </c>
      <c r="BR15" t="s">
        <v>518</v>
      </c>
      <c r="BS15" t="s">
        <v>559</v>
      </c>
      <c r="BT15" t="s">
        <v>519</v>
      </c>
      <c r="BU15" t="s">
        <v>560</v>
      </c>
      <c r="BV15" t="s">
        <v>520</v>
      </c>
      <c r="BW15" t="s">
        <v>561</v>
      </c>
      <c r="BX15" t="s">
        <v>521</v>
      </c>
      <c r="BY15" t="s">
        <v>562</v>
      </c>
      <c r="BZ15" t="s">
        <v>522</v>
      </c>
      <c r="CA15" t="s">
        <v>563</v>
      </c>
      <c r="CB15" t="s">
        <v>523</v>
      </c>
      <c r="CC15" t="s">
        <v>564</v>
      </c>
      <c r="CD15" t="s">
        <v>524</v>
      </c>
      <c r="CE15" t="s">
        <v>565</v>
      </c>
      <c r="CF15" t="s">
        <v>438</v>
      </c>
      <c r="CG15" t="s">
        <v>725</v>
      </c>
      <c r="CH15" t="s">
        <v>724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F3459"/>
  <sheetViews>
    <sheetView topLeftCell="A13" workbookViewId="0">
      <selection activeCell="F3" sqref="F3"/>
    </sheetView>
  </sheetViews>
  <sheetFormatPr defaultRowHeight="15" x14ac:dyDescent="0.25"/>
  <cols>
    <col min="1" max="1" width="40.42578125" bestFit="1" customWidth="1"/>
    <col min="2" max="2" width="50" bestFit="1" customWidth="1"/>
    <col min="5" max="5" width="32.28515625" bestFit="1" customWidth="1"/>
  </cols>
  <sheetData>
    <row r="2" spans="1:6" ht="15.75" thickBot="1" x14ac:dyDescent="0.3"/>
    <row r="3" spans="1:6" ht="15.75" thickBot="1" x14ac:dyDescent="0.3">
      <c r="B3" s="7" t="s">
        <v>152</v>
      </c>
      <c r="E3" s="4"/>
      <c r="F3" t="s">
        <v>744</v>
      </c>
    </row>
    <row r="4" spans="1:6" x14ac:dyDescent="0.25">
      <c r="A4" s="4"/>
      <c r="B4" s="5" t="s">
        <v>153</v>
      </c>
      <c r="D4" s="4"/>
      <c r="E4" s="4"/>
    </row>
    <row r="5" spans="1:6" x14ac:dyDescent="0.25">
      <c r="A5" s="4"/>
      <c r="B5" s="5" t="s">
        <v>154</v>
      </c>
      <c r="D5" s="4"/>
      <c r="E5" s="4"/>
    </row>
    <row r="6" spans="1:6" x14ac:dyDescent="0.25">
      <c r="A6" s="4"/>
      <c r="B6" s="5" t="s">
        <v>409</v>
      </c>
      <c r="D6" s="4"/>
      <c r="E6" s="4"/>
    </row>
    <row r="7" spans="1:6" x14ac:dyDescent="0.25">
      <c r="A7" s="4"/>
      <c r="B7" s="5"/>
      <c r="D7" s="4"/>
      <c r="E7" s="4"/>
    </row>
    <row r="8" spans="1:6" x14ac:dyDescent="0.25">
      <c r="A8" s="4"/>
      <c r="B8" s="5"/>
      <c r="D8" s="4"/>
      <c r="E8" s="4"/>
    </row>
    <row r="9" spans="1:6" x14ac:dyDescent="0.25">
      <c r="A9" s="4"/>
      <c r="B9" s="5"/>
      <c r="D9" s="4"/>
      <c r="E9" s="4"/>
    </row>
    <row r="10" spans="1:6" x14ac:dyDescent="0.25">
      <c r="A10" s="4"/>
      <c r="B10" s="5"/>
      <c r="D10" s="4"/>
      <c r="E10" s="4"/>
    </row>
    <row r="11" spans="1:6" x14ac:dyDescent="0.25">
      <c r="A11" s="4"/>
      <c r="B11" s="5"/>
      <c r="D11" s="4"/>
      <c r="E11" s="4"/>
    </row>
    <row r="12" spans="1:6" x14ac:dyDescent="0.25">
      <c r="A12" s="4"/>
      <c r="B12" s="5"/>
      <c r="D12" s="4"/>
      <c r="E12" s="4"/>
    </row>
    <row r="13" spans="1:6" ht="15.75" thickBot="1" x14ac:dyDescent="0.3">
      <c r="A13" s="4"/>
      <c r="B13" s="6"/>
      <c r="D13" s="4"/>
      <c r="E13" s="4"/>
    </row>
    <row r="14" spans="1:6" ht="15.75" thickBot="1" x14ac:dyDescent="0.3">
      <c r="A14" s="4"/>
      <c r="B14" s="4"/>
      <c r="D14" s="4"/>
      <c r="E14" s="4"/>
    </row>
    <row r="15" spans="1:6" ht="15.75" thickBot="1" x14ac:dyDescent="0.3">
      <c r="A15" s="4"/>
      <c r="B15" s="7" t="s">
        <v>156</v>
      </c>
      <c r="E15" s="4"/>
    </row>
    <row r="16" spans="1:6" x14ac:dyDescent="0.25">
      <c r="A16" s="4"/>
      <c r="B16" s="5" t="s">
        <v>157</v>
      </c>
      <c r="D16" s="4"/>
      <c r="E16" s="4"/>
    </row>
    <row r="17" spans="1:5" x14ac:dyDescent="0.25">
      <c r="A17" s="4"/>
      <c r="B17" s="5" t="s">
        <v>158</v>
      </c>
      <c r="D17" s="4"/>
      <c r="E17" s="4"/>
    </row>
    <row r="18" spans="1:5" x14ac:dyDescent="0.25">
      <c r="A18" s="4"/>
      <c r="B18" s="5" t="s">
        <v>159</v>
      </c>
    </row>
    <row r="19" spans="1:5" x14ac:dyDescent="0.25">
      <c r="A19" s="4"/>
      <c r="B19" s="5" t="s">
        <v>220</v>
      </c>
    </row>
    <row r="20" spans="1:5" x14ac:dyDescent="0.25">
      <c r="A20" s="4"/>
      <c r="B20" s="5" t="s">
        <v>153</v>
      </c>
    </row>
    <row r="21" spans="1:5" x14ac:dyDescent="0.25">
      <c r="A21" s="4"/>
      <c r="B21" s="5" t="s">
        <v>154</v>
      </c>
    </row>
    <row r="22" spans="1:5" x14ac:dyDescent="0.25">
      <c r="A22" s="4"/>
      <c r="B22" s="5" t="s">
        <v>409</v>
      </c>
    </row>
    <row r="23" spans="1:5" x14ac:dyDescent="0.25">
      <c r="A23" s="4"/>
      <c r="B23" s="5" t="s">
        <v>651</v>
      </c>
    </row>
    <row r="24" spans="1:5" x14ac:dyDescent="0.25">
      <c r="A24" s="4"/>
      <c r="B24" s="5" t="s">
        <v>652</v>
      </c>
    </row>
    <row r="25" spans="1:5" ht="15.75" thickBot="1" x14ac:dyDescent="0.3">
      <c r="A25" s="4"/>
      <c r="B25" s="6"/>
    </row>
    <row r="26" spans="1:5" ht="15.75" thickBot="1" x14ac:dyDescent="0.3">
      <c r="A26" s="4"/>
      <c r="B26" s="4"/>
    </row>
    <row r="27" spans="1:5" ht="15.75" thickBot="1" x14ac:dyDescent="0.3">
      <c r="A27" s="4"/>
      <c r="B27" s="7" t="s">
        <v>160</v>
      </c>
    </row>
    <row r="28" spans="1:5" x14ac:dyDescent="0.25">
      <c r="A28" s="4"/>
      <c r="B28" s="5" t="s">
        <v>409</v>
      </c>
    </row>
    <row r="29" spans="1:5" x14ac:dyDescent="0.25">
      <c r="A29" s="4"/>
      <c r="B29" s="5" t="s">
        <v>220</v>
      </c>
    </row>
    <row r="30" spans="1:5" x14ac:dyDescent="0.25">
      <c r="A30" s="4"/>
      <c r="B30" s="5" t="s">
        <v>651</v>
      </c>
    </row>
    <row r="31" spans="1:5" x14ac:dyDescent="0.25">
      <c r="A31" s="4"/>
      <c r="B31" s="5" t="s">
        <v>652</v>
      </c>
    </row>
    <row r="32" spans="1:5" x14ac:dyDescent="0.25">
      <c r="A32" s="4"/>
      <c r="B32" s="5"/>
    </row>
    <row r="33" spans="1:2" x14ac:dyDescent="0.25">
      <c r="A33" s="4"/>
      <c r="B33" s="5"/>
    </row>
    <row r="34" spans="1:2" x14ac:dyDescent="0.25">
      <c r="A34" s="4"/>
      <c r="B34" s="5"/>
    </row>
    <row r="35" spans="1:2" x14ac:dyDescent="0.25">
      <c r="A35" s="4"/>
      <c r="B35" s="5"/>
    </row>
    <row r="36" spans="1:2" x14ac:dyDescent="0.25">
      <c r="A36" s="4"/>
      <c r="B36" s="5"/>
    </row>
    <row r="37" spans="1:2" ht="15.75" thickBot="1" x14ac:dyDescent="0.3">
      <c r="A37" s="4"/>
      <c r="B37" s="6"/>
    </row>
    <row r="38" spans="1:2" ht="15.75" thickBot="1" x14ac:dyDescent="0.3">
      <c r="A38" s="4"/>
      <c r="B38" s="4"/>
    </row>
    <row r="39" spans="1:2" ht="15.75" thickBot="1" x14ac:dyDescent="0.3">
      <c r="A39" s="4"/>
      <c r="B39" s="7" t="s">
        <v>161</v>
      </c>
    </row>
    <row r="40" spans="1:2" x14ac:dyDescent="0.25">
      <c r="A40" s="4"/>
      <c r="B40" s="5" t="s">
        <v>157</v>
      </c>
    </row>
    <row r="41" spans="1:2" x14ac:dyDescent="0.25">
      <c r="A41" s="4"/>
      <c r="B41" s="5" t="s">
        <v>158</v>
      </c>
    </row>
    <row r="42" spans="1:2" x14ac:dyDescent="0.25">
      <c r="A42" s="4"/>
      <c r="B42" s="5" t="s">
        <v>159</v>
      </c>
    </row>
    <row r="43" spans="1:2" x14ac:dyDescent="0.25">
      <c r="A43" s="4"/>
      <c r="B43" s="5" t="s">
        <v>220</v>
      </c>
    </row>
    <row r="44" spans="1:2" x14ac:dyDescent="0.25">
      <c r="A44" s="4"/>
      <c r="B44" s="5" t="s">
        <v>153</v>
      </c>
    </row>
    <row r="45" spans="1:2" x14ac:dyDescent="0.25">
      <c r="A45" s="4"/>
      <c r="B45" s="5" t="s">
        <v>154</v>
      </c>
    </row>
    <row r="46" spans="1:2" x14ac:dyDescent="0.25">
      <c r="A46" s="4"/>
      <c r="B46" s="5" t="s">
        <v>409</v>
      </c>
    </row>
    <row r="47" spans="1:2" x14ac:dyDescent="0.25">
      <c r="A47" s="4"/>
      <c r="B47" s="5" t="s">
        <v>651</v>
      </c>
    </row>
    <row r="48" spans="1:2" x14ac:dyDescent="0.25">
      <c r="A48" s="4"/>
      <c r="B48" s="5" t="s">
        <v>652</v>
      </c>
    </row>
    <row r="49" spans="1:2" ht="15.75" thickBot="1" x14ac:dyDescent="0.3">
      <c r="A49" s="4"/>
      <c r="B49" s="6"/>
    </row>
    <row r="50" spans="1:2" ht="15.75" thickBot="1" x14ac:dyDescent="0.3">
      <c r="A50" s="4"/>
      <c r="B50" s="4"/>
    </row>
    <row r="51" spans="1:2" ht="15.75" thickBot="1" x14ac:dyDescent="0.3">
      <c r="A51" s="4"/>
      <c r="B51" s="7" t="s">
        <v>162</v>
      </c>
    </row>
    <row r="52" spans="1:2" x14ac:dyDescent="0.25">
      <c r="A52" s="4"/>
      <c r="B52" s="5" t="s">
        <v>157</v>
      </c>
    </row>
    <row r="53" spans="1:2" x14ac:dyDescent="0.25">
      <c r="A53" s="4"/>
      <c r="B53" s="5" t="s">
        <v>158</v>
      </c>
    </row>
    <row r="54" spans="1:2" x14ac:dyDescent="0.25">
      <c r="A54" s="4"/>
      <c r="B54" s="5" t="s">
        <v>159</v>
      </c>
    </row>
    <row r="55" spans="1:2" x14ac:dyDescent="0.25">
      <c r="A55" s="4"/>
      <c r="B55" s="5" t="s">
        <v>220</v>
      </c>
    </row>
    <row r="56" spans="1:2" x14ac:dyDescent="0.25">
      <c r="A56" s="4"/>
      <c r="B56" s="5" t="s">
        <v>153</v>
      </c>
    </row>
    <row r="57" spans="1:2" x14ac:dyDescent="0.25">
      <c r="A57" s="4"/>
      <c r="B57" s="5" t="s">
        <v>154</v>
      </c>
    </row>
    <row r="58" spans="1:2" x14ac:dyDescent="0.25">
      <c r="A58" s="4"/>
      <c r="B58" s="5" t="s">
        <v>409</v>
      </c>
    </row>
    <row r="59" spans="1:2" x14ac:dyDescent="0.25">
      <c r="A59" s="4"/>
      <c r="B59" s="5" t="s">
        <v>651</v>
      </c>
    </row>
    <row r="60" spans="1:2" x14ac:dyDescent="0.25">
      <c r="A60" s="4"/>
      <c r="B60" s="5" t="s">
        <v>652</v>
      </c>
    </row>
    <row r="61" spans="1:2" ht="15.75" thickBot="1" x14ac:dyDescent="0.3">
      <c r="A61" s="4"/>
      <c r="B61" s="6"/>
    </row>
    <row r="62" spans="1:2" ht="15.75" thickBot="1" x14ac:dyDescent="0.3">
      <c r="A62" s="4"/>
      <c r="B62" s="4"/>
    </row>
    <row r="63" spans="1:2" ht="15.75" thickBot="1" x14ac:dyDescent="0.3">
      <c r="A63" s="4"/>
      <c r="B63" s="7" t="s">
        <v>661</v>
      </c>
    </row>
    <row r="64" spans="1:2" x14ac:dyDescent="0.25">
      <c r="A64" s="4"/>
      <c r="B64" s="5" t="s">
        <v>157</v>
      </c>
    </row>
    <row r="65" spans="1:2" x14ac:dyDescent="0.25">
      <c r="A65" s="4"/>
      <c r="B65" s="5" t="s">
        <v>163</v>
      </c>
    </row>
    <row r="66" spans="1:2" x14ac:dyDescent="0.25">
      <c r="A66" s="4"/>
      <c r="B66" s="5" t="s">
        <v>153</v>
      </c>
    </row>
    <row r="67" spans="1:2" x14ac:dyDescent="0.25">
      <c r="A67" s="4"/>
      <c r="B67" s="5" t="s">
        <v>154</v>
      </c>
    </row>
    <row r="68" spans="1:2" x14ac:dyDescent="0.25">
      <c r="A68" s="4"/>
      <c r="B68" s="5" t="s">
        <v>158</v>
      </c>
    </row>
    <row r="69" spans="1:2" x14ac:dyDescent="0.25">
      <c r="A69" s="4"/>
      <c r="B69" s="5" t="s">
        <v>159</v>
      </c>
    </row>
    <row r="70" spans="1:2" x14ac:dyDescent="0.25">
      <c r="A70" s="4"/>
      <c r="B70" s="5" t="s">
        <v>220</v>
      </c>
    </row>
    <row r="71" spans="1:2" x14ac:dyDescent="0.25">
      <c r="A71" s="4"/>
      <c r="B71" s="5" t="s">
        <v>164</v>
      </c>
    </row>
    <row r="72" spans="1:2" x14ac:dyDescent="0.25">
      <c r="A72" s="4"/>
      <c r="B72" s="5" t="s">
        <v>409</v>
      </c>
    </row>
    <row r="73" spans="1:2" x14ac:dyDescent="0.25">
      <c r="A73" s="4"/>
      <c r="B73" s="5" t="s">
        <v>651</v>
      </c>
    </row>
    <row r="74" spans="1:2" ht="15.75" thickBot="1" x14ac:dyDescent="0.3">
      <c r="A74" s="4"/>
      <c r="B74" s="5" t="s">
        <v>652</v>
      </c>
    </row>
    <row r="75" spans="1:2" ht="15.75" thickBot="1" x14ac:dyDescent="0.3">
      <c r="A75" s="4"/>
      <c r="B75" s="7" t="s">
        <v>165</v>
      </c>
    </row>
    <row r="76" spans="1:2" x14ac:dyDescent="0.25">
      <c r="A76" s="4"/>
      <c r="B76" s="5" t="s">
        <v>409</v>
      </c>
    </row>
    <row r="77" spans="1:2" x14ac:dyDescent="0.25">
      <c r="A77" s="4"/>
      <c r="B77" s="5" t="s">
        <v>220</v>
      </c>
    </row>
    <row r="78" spans="1:2" x14ac:dyDescent="0.25">
      <c r="A78" s="4"/>
      <c r="B78" s="5" t="s">
        <v>651</v>
      </c>
    </row>
    <row r="79" spans="1:2" x14ac:dyDescent="0.25">
      <c r="A79" s="4"/>
      <c r="B79" s="5" t="s">
        <v>652</v>
      </c>
    </row>
    <row r="80" spans="1:2" x14ac:dyDescent="0.25">
      <c r="A80" s="4"/>
      <c r="B80" s="5"/>
    </row>
    <row r="81" spans="1:2" x14ac:dyDescent="0.25">
      <c r="A81" s="4"/>
      <c r="B81" s="5"/>
    </row>
    <row r="82" spans="1:2" x14ac:dyDescent="0.25">
      <c r="A82" s="4"/>
      <c r="B82" s="5"/>
    </row>
    <row r="83" spans="1:2" x14ac:dyDescent="0.25">
      <c r="A83" s="4"/>
      <c r="B83" s="5"/>
    </row>
    <row r="84" spans="1:2" x14ac:dyDescent="0.25">
      <c r="A84" s="4"/>
      <c r="B84" s="5"/>
    </row>
    <row r="85" spans="1:2" ht="15.75" thickBot="1" x14ac:dyDescent="0.3">
      <c r="A85" s="4"/>
      <c r="B85" s="6"/>
    </row>
    <row r="86" spans="1:2" ht="15.75" thickBot="1" x14ac:dyDescent="0.3">
      <c r="A86" s="4"/>
      <c r="B86" s="4"/>
    </row>
    <row r="87" spans="1:2" ht="15.75" thickBot="1" x14ac:dyDescent="0.3">
      <c r="A87" s="4"/>
      <c r="B87" s="7" t="s">
        <v>166</v>
      </c>
    </row>
    <row r="88" spans="1:2" x14ac:dyDescent="0.25">
      <c r="A88" s="4"/>
      <c r="B88" s="5" t="s">
        <v>157</v>
      </c>
    </row>
    <row r="89" spans="1:2" x14ac:dyDescent="0.25">
      <c r="A89" s="4"/>
      <c r="B89" s="5" t="s">
        <v>158</v>
      </c>
    </row>
    <row r="90" spans="1:2" x14ac:dyDescent="0.25">
      <c r="A90" s="4"/>
      <c r="B90" s="5" t="s">
        <v>159</v>
      </c>
    </row>
    <row r="91" spans="1:2" x14ac:dyDescent="0.25">
      <c r="A91" s="4"/>
      <c r="B91" s="5" t="s">
        <v>220</v>
      </c>
    </row>
    <row r="92" spans="1:2" x14ac:dyDescent="0.25">
      <c r="A92" s="4"/>
      <c r="B92" s="5" t="s">
        <v>153</v>
      </c>
    </row>
    <row r="93" spans="1:2" x14ac:dyDescent="0.25">
      <c r="A93" s="4"/>
      <c r="B93" s="5" t="s">
        <v>154</v>
      </c>
    </row>
    <row r="94" spans="1:2" x14ac:dyDescent="0.25">
      <c r="A94" s="4"/>
      <c r="B94" s="5" t="s">
        <v>409</v>
      </c>
    </row>
    <row r="95" spans="1:2" x14ac:dyDescent="0.25">
      <c r="A95" s="4"/>
      <c r="B95" s="5" t="s">
        <v>651</v>
      </c>
    </row>
    <row r="96" spans="1:2" x14ac:dyDescent="0.25">
      <c r="A96" s="4"/>
      <c r="B96" s="5" t="s">
        <v>652</v>
      </c>
    </row>
    <row r="97" spans="1:2" ht="15.75" thickBot="1" x14ac:dyDescent="0.3">
      <c r="A97" s="4"/>
      <c r="B97" s="6"/>
    </row>
    <row r="98" spans="1:2" ht="15.75" thickBot="1" x14ac:dyDescent="0.3">
      <c r="A98" s="4"/>
      <c r="B98" s="4"/>
    </row>
    <row r="99" spans="1:2" ht="15.75" thickBot="1" x14ac:dyDescent="0.3">
      <c r="A99" s="4"/>
      <c r="B99" s="7" t="s">
        <v>167</v>
      </c>
    </row>
    <row r="100" spans="1:2" x14ac:dyDescent="0.25">
      <c r="A100" s="4"/>
      <c r="B100" s="5" t="s">
        <v>410</v>
      </c>
    </row>
    <row r="101" spans="1:2" x14ac:dyDescent="0.25">
      <c r="A101" s="4"/>
      <c r="B101" s="5" t="s">
        <v>158</v>
      </c>
    </row>
    <row r="102" spans="1:2" x14ac:dyDescent="0.25">
      <c r="A102" s="4"/>
      <c r="B102" s="5" t="s">
        <v>159</v>
      </c>
    </row>
    <row r="103" spans="1:2" x14ac:dyDescent="0.25">
      <c r="A103" s="4"/>
      <c r="B103" s="5" t="s">
        <v>220</v>
      </c>
    </row>
    <row r="104" spans="1:2" x14ac:dyDescent="0.25">
      <c r="A104" s="4"/>
      <c r="B104" s="5" t="s">
        <v>164</v>
      </c>
    </row>
    <row r="105" spans="1:2" x14ac:dyDescent="0.25">
      <c r="A105" s="4"/>
      <c r="B105" s="5"/>
    </row>
    <row r="106" spans="1:2" x14ac:dyDescent="0.25">
      <c r="A106" s="4"/>
      <c r="B106" s="5"/>
    </row>
    <row r="107" spans="1:2" x14ac:dyDescent="0.25">
      <c r="A107" s="4"/>
      <c r="B107" s="5"/>
    </row>
    <row r="108" spans="1:2" x14ac:dyDescent="0.25">
      <c r="A108" s="4"/>
      <c r="B108" s="5"/>
    </row>
    <row r="109" spans="1:2" ht="15.75" thickBot="1" x14ac:dyDescent="0.3">
      <c r="A109" s="4"/>
      <c r="B109" s="6"/>
    </row>
    <row r="110" spans="1:2" ht="15.75" thickBot="1" x14ac:dyDescent="0.3">
      <c r="A110" s="4"/>
      <c r="B110" s="4"/>
    </row>
    <row r="111" spans="1:2" ht="15.75" thickBot="1" x14ac:dyDescent="0.3">
      <c r="A111" s="4"/>
      <c r="B111" s="7" t="s">
        <v>168</v>
      </c>
    </row>
    <row r="112" spans="1:2" x14ac:dyDescent="0.25">
      <c r="A112" s="4"/>
      <c r="B112" s="5" t="s">
        <v>220</v>
      </c>
    </row>
    <row r="113" spans="1:2" x14ac:dyDescent="0.25">
      <c r="A113" s="4"/>
      <c r="B113" s="5" t="s">
        <v>164</v>
      </c>
    </row>
    <row r="114" spans="1:2" x14ac:dyDescent="0.25">
      <c r="A114" s="4"/>
      <c r="B114" s="5" t="s">
        <v>410</v>
      </c>
    </row>
    <row r="115" spans="1:2" x14ac:dyDescent="0.25">
      <c r="A115" s="4"/>
      <c r="B115" s="5"/>
    </row>
    <row r="116" spans="1:2" x14ac:dyDescent="0.25">
      <c r="A116" s="4"/>
      <c r="B116" s="5"/>
    </row>
    <row r="117" spans="1:2" x14ac:dyDescent="0.25">
      <c r="A117" s="4"/>
      <c r="B117" s="5"/>
    </row>
    <row r="118" spans="1:2" x14ac:dyDescent="0.25">
      <c r="A118" s="4"/>
      <c r="B118" s="5"/>
    </row>
    <row r="119" spans="1:2" x14ac:dyDescent="0.25">
      <c r="A119" s="4"/>
      <c r="B119" s="5"/>
    </row>
    <row r="120" spans="1:2" x14ac:dyDescent="0.25">
      <c r="A120" s="4"/>
      <c r="B120" s="5"/>
    </row>
    <row r="121" spans="1:2" ht="15.75" thickBot="1" x14ac:dyDescent="0.3">
      <c r="A121" s="4"/>
      <c r="B121" s="6"/>
    </row>
    <row r="122" spans="1:2" ht="15.75" thickBot="1" x14ac:dyDescent="0.3">
      <c r="A122" s="4"/>
      <c r="B122" s="4"/>
    </row>
    <row r="123" spans="1:2" ht="15.75" thickBot="1" x14ac:dyDescent="0.3">
      <c r="A123" s="4"/>
      <c r="B123" s="7" t="s">
        <v>169</v>
      </c>
    </row>
    <row r="124" spans="1:2" x14ac:dyDescent="0.25">
      <c r="A124" s="4"/>
      <c r="B124" s="5" t="s">
        <v>410</v>
      </c>
    </row>
    <row r="125" spans="1:2" x14ac:dyDescent="0.25">
      <c r="A125" s="4"/>
      <c r="B125" s="5" t="s">
        <v>158</v>
      </c>
    </row>
    <row r="126" spans="1:2" x14ac:dyDescent="0.25">
      <c r="A126" s="4"/>
      <c r="B126" s="5" t="s">
        <v>159</v>
      </c>
    </row>
    <row r="127" spans="1:2" x14ac:dyDescent="0.25">
      <c r="A127" s="4"/>
      <c r="B127" s="5" t="s">
        <v>220</v>
      </c>
    </row>
    <row r="128" spans="1:2" x14ac:dyDescent="0.25">
      <c r="A128" s="4"/>
      <c r="B128" s="5" t="s">
        <v>164</v>
      </c>
    </row>
    <row r="129" spans="1:2" x14ac:dyDescent="0.25">
      <c r="A129" s="4"/>
      <c r="B129" s="5"/>
    </row>
    <row r="130" spans="1:2" x14ac:dyDescent="0.25">
      <c r="A130" s="4"/>
      <c r="B130" s="5"/>
    </row>
    <row r="131" spans="1:2" x14ac:dyDescent="0.25">
      <c r="A131" s="4"/>
      <c r="B131" s="5"/>
    </row>
    <row r="132" spans="1:2" x14ac:dyDescent="0.25">
      <c r="A132" s="4"/>
      <c r="B132" s="5"/>
    </row>
    <row r="133" spans="1:2" ht="15.75" thickBot="1" x14ac:dyDescent="0.3">
      <c r="A133" s="4"/>
      <c r="B133" s="6"/>
    </row>
    <row r="134" spans="1:2" ht="15.75" thickBot="1" x14ac:dyDescent="0.3">
      <c r="A134" s="4"/>
      <c r="B134" s="4"/>
    </row>
    <row r="135" spans="1:2" ht="15.75" thickBot="1" x14ac:dyDescent="0.3">
      <c r="A135" s="4"/>
      <c r="B135" s="7" t="s">
        <v>170</v>
      </c>
    </row>
    <row r="136" spans="1:2" x14ac:dyDescent="0.25">
      <c r="A136" s="4"/>
      <c r="B136" s="5" t="s">
        <v>158</v>
      </c>
    </row>
    <row r="137" spans="1:2" x14ac:dyDescent="0.25">
      <c r="A137" s="4"/>
      <c r="B137" s="5" t="s">
        <v>159</v>
      </c>
    </row>
    <row r="138" spans="1:2" x14ac:dyDescent="0.25">
      <c r="A138" s="4"/>
      <c r="B138" s="5" t="s">
        <v>220</v>
      </c>
    </row>
    <row r="139" spans="1:2" x14ac:dyDescent="0.25">
      <c r="A139" s="4"/>
      <c r="B139" s="5" t="s">
        <v>164</v>
      </c>
    </row>
    <row r="140" spans="1:2" x14ac:dyDescent="0.25">
      <c r="A140" s="4"/>
      <c r="B140" s="5" t="s">
        <v>410</v>
      </c>
    </row>
    <row r="141" spans="1:2" x14ac:dyDescent="0.25">
      <c r="A141" s="4"/>
      <c r="B141" s="5"/>
    </row>
    <row r="142" spans="1:2" x14ac:dyDescent="0.25">
      <c r="A142" s="4"/>
      <c r="B142" s="5"/>
    </row>
    <row r="143" spans="1:2" x14ac:dyDescent="0.25">
      <c r="A143" s="4"/>
      <c r="B143" s="5"/>
    </row>
    <row r="144" spans="1:2" x14ac:dyDescent="0.25">
      <c r="A144" s="4"/>
      <c r="B144" s="5"/>
    </row>
    <row r="145" spans="1:2" ht="15.75" thickBot="1" x14ac:dyDescent="0.3">
      <c r="A145" s="4"/>
      <c r="B145" s="6"/>
    </row>
    <row r="146" spans="1:2" ht="15.75" thickBot="1" x14ac:dyDescent="0.3">
      <c r="A146" s="4"/>
      <c r="B146" s="4"/>
    </row>
    <row r="147" spans="1:2" ht="15.75" thickBot="1" x14ac:dyDescent="0.3">
      <c r="A147" s="4"/>
      <c r="B147" s="7" t="s">
        <v>171</v>
      </c>
    </row>
    <row r="148" spans="1:2" x14ac:dyDescent="0.25">
      <c r="A148" s="4"/>
      <c r="B148" s="5" t="s">
        <v>410</v>
      </c>
    </row>
    <row r="149" spans="1:2" x14ac:dyDescent="0.25">
      <c r="A149" s="4"/>
      <c r="B149" s="5" t="s">
        <v>158</v>
      </c>
    </row>
    <row r="150" spans="1:2" x14ac:dyDescent="0.25">
      <c r="A150" s="4"/>
      <c r="B150" s="5" t="s">
        <v>159</v>
      </c>
    </row>
    <row r="151" spans="1:2" x14ac:dyDescent="0.25">
      <c r="A151" s="4"/>
      <c r="B151" s="5" t="s">
        <v>220</v>
      </c>
    </row>
    <row r="152" spans="1:2" x14ac:dyDescent="0.25">
      <c r="A152" s="4"/>
      <c r="B152" s="5" t="s">
        <v>164</v>
      </c>
    </row>
    <row r="153" spans="1:2" x14ac:dyDescent="0.25">
      <c r="A153" s="4"/>
      <c r="B153" s="5"/>
    </row>
    <row r="154" spans="1:2" x14ac:dyDescent="0.25">
      <c r="A154" s="4"/>
      <c r="B154" s="5"/>
    </row>
    <row r="155" spans="1:2" x14ac:dyDescent="0.25">
      <c r="A155" s="4"/>
      <c r="B155" s="5"/>
    </row>
    <row r="156" spans="1:2" x14ac:dyDescent="0.25">
      <c r="A156" s="4"/>
      <c r="B156" s="5"/>
    </row>
    <row r="157" spans="1:2" ht="15.75" thickBot="1" x14ac:dyDescent="0.3">
      <c r="A157" s="4"/>
      <c r="B157" s="6"/>
    </row>
    <row r="158" spans="1:2" ht="15.75" thickBot="1" x14ac:dyDescent="0.3">
      <c r="A158" s="4"/>
      <c r="B158" s="4"/>
    </row>
    <row r="159" spans="1:2" ht="15.75" thickBot="1" x14ac:dyDescent="0.3">
      <c r="A159" s="4"/>
      <c r="B159" s="7" t="s">
        <v>172</v>
      </c>
    </row>
    <row r="160" spans="1:2" x14ac:dyDescent="0.25">
      <c r="A160" s="4"/>
      <c r="B160" s="5" t="s">
        <v>220</v>
      </c>
    </row>
    <row r="161" spans="1:2" x14ac:dyDescent="0.25">
      <c r="A161" s="4"/>
      <c r="B161" s="5" t="s">
        <v>164</v>
      </c>
    </row>
    <row r="162" spans="1:2" x14ac:dyDescent="0.25">
      <c r="A162" s="4"/>
      <c r="B162" s="5" t="s">
        <v>410</v>
      </c>
    </row>
    <row r="163" spans="1:2" x14ac:dyDescent="0.25">
      <c r="A163" s="4"/>
      <c r="B163" s="5"/>
    </row>
    <row r="164" spans="1:2" x14ac:dyDescent="0.25">
      <c r="A164" s="4"/>
      <c r="B164" s="5"/>
    </row>
    <row r="165" spans="1:2" x14ac:dyDescent="0.25">
      <c r="A165" s="4"/>
      <c r="B165" s="5"/>
    </row>
    <row r="166" spans="1:2" x14ac:dyDescent="0.25">
      <c r="A166" s="4"/>
      <c r="B166" s="5"/>
    </row>
    <row r="167" spans="1:2" x14ac:dyDescent="0.25">
      <c r="A167" s="4"/>
      <c r="B167" s="5"/>
    </row>
    <row r="168" spans="1:2" x14ac:dyDescent="0.25">
      <c r="A168" s="4"/>
      <c r="B168" s="5"/>
    </row>
    <row r="169" spans="1:2" ht="15.75" thickBot="1" x14ac:dyDescent="0.3">
      <c r="A169" s="4"/>
      <c r="B169" s="6"/>
    </row>
    <row r="170" spans="1:2" ht="15.75" thickBot="1" x14ac:dyDescent="0.3">
      <c r="A170" s="4"/>
      <c r="B170" s="4"/>
    </row>
    <row r="171" spans="1:2" ht="15.75" thickBot="1" x14ac:dyDescent="0.3">
      <c r="A171" s="4"/>
      <c r="B171" s="7" t="s">
        <v>173</v>
      </c>
    </row>
    <row r="172" spans="1:2" x14ac:dyDescent="0.25">
      <c r="A172" s="4"/>
      <c r="B172" s="5" t="s">
        <v>410</v>
      </c>
    </row>
    <row r="173" spans="1:2" x14ac:dyDescent="0.25">
      <c r="A173" s="4"/>
      <c r="B173" s="5" t="s">
        <v>158</v>
      </c>
    </row>
    <row r="174" spans="1:2" x14ac:dyDescent="0.25">
      <c r="A174" s="4"/>
      <c r="B174" s="5" t="s">
        <v>159</v>
      </c>
    </row>
    <row r="175" spans="1:2" x14ac:dyDescent="0.25">
      <c r="A175" s="4"/>
      <c r="B175" s="5" t="s">
        <v>220</v>
      </c>
    </row>
    <row r="176" spans="1:2" x14ac:dyDescent="0.25">
      <c r="A176" s="4"/>
      <c r="B176" s="5" t="s">
        <v>164</v>
      </c>
    </row>
    <row r="177" spans="1:2" x14ac:dyDescent="0.25">
      <c r="A177" s="4"/>
      <c r="B177" s="5"/>
    </row>
    <row r="178" spans="1:2" x14ac:dyDescent="0.25">
      <c r="A178" s="4"/>
      <c r="B178" s="5"/>
    </row>
    <row r="179" spans="1:2" x14ac:dyDescent="0.25">
      <c r="A179" s="4"/>
      <c r="B179" s="5"/>
    </row>
    <row r="180" spans="1:2" x14ac:dyDescent="0.25">
      <c r="A180" s="4"/>
      <c r="B180" s="5"/>
    </row>
    <row r="181" spans="1:2" ht="15.75" thickBot="1" x14ac:dyDescent="0.3">
      <c r="A181" s="4"/>
      <c r="B181" s="6"/>
    </row>
    <row r="182" spans="1:2" ht="15.75" thickBot="1" x14ac:dyDescent="0.3">
      <c r="A182" s="4"/>
      <c r="B182" s="4"/>
    </row>
    <row r="183" spans="1:2" ht="15.75" thickBot="1" x14ac:dyDescent="0.3">
      <c r="A183" s="4"/>
      <c r="B183" s="7" t="s">
        <v>174</v>
      </c>
    </row>
    <row r="184" spans="1:2" x14ac:dyDescent="0.25">
      <c r="A184" s="4"/>
      <c r="B184" s="5" t="s">
        <v>157</v>
      </c>
    </row>
    <row r="185" spans="1:2" x14ac:dyDescent="0.25">
      <c r="A185" s="4"/>
      <c r="B185" s="5" t="s">
        <v>158</v>
      </c>
    </row>
    <row r="186" spans="1:2" x14ac:dyDescent="0.25">
      <c r="A186" s="4"/>
      <c r="B186" s="5" t="s">
        <v>159</v>
      </c>
    </row>
    <row r="187" spans="1:2" x14ac:dyDescent="0.25">
      <c r="A187" s="4"/>
      <c r="B187" s="5" t="s">
        <v>220</v>
      </c>
    </row>
    <row r="188" spans="1:2" x14ac:dyDescent="0.25">
      <c r="A188" s="4"/>
      <c r="B188" s="5" t="s">
        <v>164</v>
      </c>
    </row>
    <row r="189" spans="1:2" x14ac:dyDescent="0.25">
      <c r="A189" s="4"/>
      <c r="B189" s="5" t="s">
        <v>411</v>
      </c>
    </row>
    <row r="190" spans="1:2" x14ac:dyDescent="0.25">
      <c r="A190" s="4"/>
      <c r="B190" s="5"/>
    </row>
    <row r="191" spans="1:2" x14ac:dyDescent="0.25">
      <c r="A191" s="4"/>
      <c r="B191" s="5"/>
    </row>
    <row r="192" spans="1:2" x14ac:dyDescent="0.25">
      <c r="A192" s="4"/>
      <c r="B192" s="5"/>
    </row>
    <row r="193" spans="1:2" ht="15.75" thickBot="1" x14ac:dyDescent="0.3">
      <c r="A193" s="4"/>
      <c r="B193" s="6"/>
    </row>
    <row r="194" spans="1:2" ht="15.75" thickBot="1" x14ac:dyDescent="0.3">
      <c r="A194" s="4"/>
      <c r="B194" s="4"/>
    </row>
    <row r="195" spans="1:2" ht="15.75" thickBot="1" x14ac:dyDescent="0.3">
      <c r="A195" s="4"/>
      <c r="B195" s="7" t="s">
        <v>175</v>
      </c>
    </row>
    <row r="196" spans="1:2" x14ac:dyDescent="0.25">
      <c r="A196" s="4"/>
      <c r="B196" s="5" t="s">
        <v>411</v>
      </c>
    </row>
    <row r="197" spans="1:2" x14ac:dyDescent="0.25">
      <c r="A197" s="4"/>
      <c r="B197" s="5" t="s">
        <v>220</v>
      </c>
    </row>
    <row r="198" spans="1:2" x14ac:dyDescent="0.25">
      <c r="A198" s="4"/>
      <c r="B198" s="5" t="s">
        <v>164</v>
      </c>
    </row>
    <row r="199" spans="1:2" x14ac:dyDescent="0.25">
      <c r="A199" s="4"/>
      <c r="B199" s="5"/>
    </row>
    <row r="200" spans="1:2" x14ac:dyDescent="0.25">
      <c r="A200" s="4"/>
      <c r="B200" s="5"/>
    </row>
    <row r="201" spans="1:2" x14ac:dyDescent="0.25">
      <c r="A201" s="4"/>
      <c r="B201" s="5"/>
    </row>
    <row r="202" spans="1:2" x14ac:dyDescent="0.25">
      <c r="A202" s="4"/>
      <c r="B202" s="5"/>
    </row>
    <row r="203" spans="1:2" x14ac:dyDescent="0.25">
      <c r="A203" s="4"/>
      <c r="B203" s="5"/>
    </row>
    <row r="204" spans="1:2" x14ac:dyDescent="0.25">
      <c r="A204" s="4"/>
      <c r="B204" s="5"/>
    </row>
    <row r="205" spans="1:2" ht="15.75" thickBot="1" x14ac:dyDescent="0.3">
      <c r="A205" s="4"/>
      <c r="B205" s="6"/>
    </row>
    <row r="206" spans="1:2" ht="15.75" thickBot="1" x14ac:dyDescent="0.3">
      <c r="A206" s="4"/>
      <c r="B206" s="4"/>
    </row>
    <row r="207" spans="1:2" ht="15.75" thickBot="1" x14ac:dyDescent="0.3">
      <c r="A207" s="4"/>
      <c r="B207" s="7" t="s">
        <v>176</v>
      </c>
    </row>
    <row r="208" spans="1:2" x14ac:dyDescent="0.25">
      <c r="A208" s="4"/>
      <c r="B208" s="5" t="s">
        <v>157</v>
      </c>
    </row>
    <row r="209" spans="1:2" x14ac:dyDescent="0.25">
      <c r="A209" s="4"/>
      <c r="B209" s="5" t="s">
        <v>158</v>
      </c>
    </row>
    <row r="210" spans="1:2" x14ac:dyDescent="0.25">
      <c r="A210" s="4"/>
      <c r="B210" s="5" t="s">
        <v>159</v>
      </c>
    </row>
    <row r="211" spans="1:2" x14ac:dyDescent="0.25">
      <c r="A211" s="4"/>
      <c r="B211" s="5" t="s">
        <v>220</v>
      </c>
    </row>
    <row r="212" spans="1:2" x14ac:dyDescent="0.25">
      <c r="A212" s="4"/>
      <c r="B212" s="5" t="s">
        <v>164</v>
      </c>
    </row>
    <row r="213" spans="1:2" x14ac:dyDescent="0.25">
      <c r="A213" s="4"/>
      <c r="B213" s="5" t="s">
        <v>411</v>
      </c>
    </row>
    <row r="214" spans="1:2" x14ac:dyDescent="0.25">
      <c r="A214" s="4"/>
      <c r="B214" s="5"/>
    </row>
    <row r="215" spans="1:2" x14ac:dyDescent="0.25">
      <c r="A215" s="4"/>
      <c r="B215" s="5"/>
    </row>
    <row r="216" spans="1:2" x14ac:dyDescent="0.25">
      <c r="A216" s="4"/>
      <c r="B216" s="5"/>
    </row>
    <row r="217" spans="1:2" ht="15.75" thickBot="1" x14ac:dyDescent="0.3">
      <c r="A217" s="4"/>
      <c r="B217" s="6"/>
    </row>
    <row r="218" spans="1:2" ht="15.75" thickBot="1" x14ac:dyDescent="0.3">
      <c r="A218" s="4"/>
      <c r="B218" s="4"/>
    </row>
    <row r="219" spans="1:2" ht="15.75" thickBot="1" x14ac:dyDescent="0.3">
      <c r="A219" s="4"/>
      <c r="B219" s="7" t="s">
        <v>177</v>
      </c>
    </row>
    <row r="220" spans="1:2" x14ac:dyDescent="0.25">
      <c r="A220" s="4"/>
      <c r="B220" s="5" t="s">
        <v>157</v>
      </c>
    </row>
    <row r="221" spans="1:2" x14ac:dyDescent="0.25">
      <c r="A221" s="4"/>
      <c r="B221" s="5" t="s">
        <v>158</v>
      </c>
    </row>
    <row r="222" spans="1:2" x14ac:dyDescent="0.25">
      <c r="A222" s="4"/>
      <c r="B222" s="5" t="s">
        <v>159</v>
      </c>
    </row>
    <row r="223" spans="1:2" x14ac:dyDescent="0.25">
      <c r="A223" s="4"/>
      <c r="B223" s="5" t="s">
        <v>220</v>
      </c>
    </row>
    <row r="224" spans="1:2" x14ac:dyDescent="0.25">
      <c r="A224" s="4"/>
      <c r="B224" s="5" t="s">
        <v>164</v>
      </c>
    </row>
    <row r="225" spans="1:2" x14ac:dyDescent="0.25">
      <c r="A225" s="4"/>
      <c r="B225" s="5" t="s">
        <v>411</v>
      </c>
    </row>
    <row r="226" spans="1:2" x14ac:dyDescent="0.25">
      <c r="A226" s="4"/>
      <c r="B226" s="5"/>
    </row>
    <row r="227" spans="1:2" x14ac:dyDescent="0.25">
      <c r="A227" s="4"/>
      <c r="B227" s="5"/>
    </row>
    <row r="228" spans="1:2" x14ac:dyDescent="0.25">
      <c r="A228" s="4"/>
      <c r="B228" s="5"/>
    </row>
    <row r="229" spans="1:2" ht="15.75" thickBot="1" x14ac:dyDescent="0.3">
      <c r="A229" s="4"/>
      <c r="B229" s="6"/>
    </row>
    <row r="230" spans="1:2" ht="15.75" thickBot="1" x14ac:dyDescent="0.3">
      <c r="A230" s="4"/>
      <c r="B230" s="4"/>
    </row>
    <row r="231" spans="1:2" ht="15.75" thickBot="1" x14ac:dyDescent="0.3">
      <c r="A231" s="4"/>
      <c r="B231" s="7" t="s">
        <v>178</v>
      </c>
    </row>
    <row r="232" spans="1:2" x14ac:dyDescent="0.25">
      <c r="A232" s="4"/>
      <c r="B232" s="5" t="s">
        <v>157</v>
      </c>
    </row>
    <row r="233" spans="1:2" x14ac:dyDescent="0.25">
      <c r="A233" s="4"/>
      <c r="B233" s="5" t="s">
        <v>158</v>
      </c>
    </row>
    <row r="234" spans="1:2" x14ac:dyDescent="0.25">
      <c r="A234" s="4"/>
      <c r="B234" s="5" t="s">
        <v>159</v>
      </c>
    </row>
    <row r="235" spans="1:2" x14ac:dyDescent="0.25">
      <c r="A235" s="4"/>
      <c r="B235" s="5" t="s">
        <v>220</v>
      </c>
    </row>
    <row r="236" spans="1:2" x14ac:dyDescent="0.25">
      <c r="A236" s="4"/>
      <c r="B236" s="5" t="s">
        <v>164</v>
      </c>
    </row>
    <row r="237" spans="1:2" x14ac:dyDescent="0.25">
      <c r="A237" s="4"/>
      <c r="B237" s="5" t="s">
        <v>411</v>
      </c>
    </row>
    <row r="238" spans="1:2" x14ac:dyDescent="0.25">
      <c r="A238" s="4"/>
      <c r="B238" s="5"/>
    </row>
    <row r="239" spans="1:2" x14ac:dyDescent="0.25">
      <c r="A239" s="4"/>
      <c r="B239" s="5"/>
    </row>
    <row r="240" spans="1:2" x14ac:dyDescent="0.25">
      <c r="A240" s="4"/>
      <c r="B240" s="5"/>
    </row>
    <row r="241" spans="1:2" ht="15.75" thickBot="1" x14ac:dyDescent="0.3">
      <c r="A241" s="4"/>
      <c r="B241" s="6"/>
    </row>
    <row r="242" spans="1:2" ht="15.75" thickBot="1" x14ac:dyDescent="0.3">
      <c r="A242" s="4"/>
      <c r="B242" s="4"/>
    </row>
    <row r="243" spans="1:2" ht="15.75" thickBot="1" x14ac:dyDescent="0.3">
      <c r="A243" s="4"/>
      <c r="B243" s="7" t="s">
        <v>179</v>
      </c>
    </row>
    <row r="244" spans="1:2" x14ac:dyDescent="0.25">
      <c r="A244" s="4"/>
      <c r="B244" s="5" t="s">
        <v>411</v>
      </c>
    </row>
    <row r="245" spans="1:2" x14ac:dyDescent="0.25">
      <c r="A245" s="4"/>
      <c r="B245" s="5" t="s">
        <v>220</v>
      </c>
    </row>
    <row r="246" spans="1:2" x14ac:dyDescent="0.25">
      <c r="A246" s="4"/>
      <c r="B246" s="5" t="s">
        <v>164</v>
      </c>
    </row>
    <row r="247" spans="1:2" x14ac:dyDescent="0.25">
      <c r="A247" s="4"/>
      <c r="B247" s="5"/>
    </row>
    <row r="248" spans="1:2" x14ac:dyDescent="0.25">
      <c r="A248" s="4"/>
      <c r="B248" s="5"/>
    </row>
    <row r="249" spans="1:2" x14ac:dyDescent="0.25">
      <c r="A249" s="4"/>
      <c r="B249" s="5"/>
    </row>
    <row r="250" spans="1:2" x14ac:dyDescent="0.25">
      <c r="A250" s="4"/>
      <c r="B250" s="5"/>
    </row>
    <row r="251" spans="1:2" x14ac:dyDescent="0.25">
      <c r="A251" s="4"/>
      <c r="B251" s="5"/>
    </row>
    <row r="252" spans="1:2" x14ac:dyDescent="0.25">
      <c r="A252" s="4"/>
      <c r="B252" s="5"/>
    </row>
    <row r="253" spans="1:2" ht="15.75" thickBot="1" x14ac:dyDescent="0.3">
      <c r="A253" s="4"/>
      <c r="B253" s="6"/>
    </row>
    <row r="254" spans="1:2" ht="15.75" thickBot="1" x14ac:dyDescent="0.3">
      <c r="A254" s="4"/>
      <c r="B254" s="4"/>
    </row>
    <row r="255" spans="1:2" ht="15.75" thickBot="1" x14ac:dyDescent="0.3">
      <c r="A255" s="4"/>
      <c r="B255" s="7" t="s">
        <v>180</v>
      </c>
    </row>
    <row r="256" spans="1:2" x14ac:dyDescent="0.25">
      <c r="A256" s="4"/>
      <c r="B256" s="5" t="s">
        <v>157</v>
      </c>
    </row>
    <row r="257" spans="1:2" x14ac:dyDescent="0.25">
      <c r="A257" s="4"/>
      <c r="B257" s="5" t="s">
        <v>158</v>
      </c>
    </row>
    <row r="258" spans="1:2" x14ac:dyDescent="0.25">
      <c r="A258" s="4"/>
      <c r="B258" s="5" t="s">
        <v>159</v>
      </c>
    </row>
    <row r="259" spans="1:2" x14ac:dyDescent="0.25">
      <c r="A259" s="4"/>
      <c r="B259" s="5" t="s">
        <v>220</v>
      </c>
    </row>
    <row r="260" spans="1:2" x14ac:dyDescent="0.25">
      <c r="A260" s="4"/>
      <c r="B260" s="5" t="s">
        <v>164</v>
      </c>
    </row>
    <row r="261" spans="1:2" x14ac:dyDescent="0.25">
      <c r="A261" s="4"/>
      <c r="B261" s="5" t="s">
        <v>411</v>
      </c>
    </row>
    <row r="262" spans="1:2" x14ac:dyDescent="0.25">
      <c r="A262" s="4"/>
      <c r="B262" s="5"/>
    </row>
    <row r="263" spans="1:2" x14ac:dyDescent="0.25">
      <c r="A263" s="4"/>
      <c r="B263" s="5"/>
    </row>
    <row r="264" spans="1:2" x14ac:dyDescent="0.25">
      <c r="A264" s="4"/>
      <c r="B264" s="5"/>
    </row>
    <row r="265" spans="1:2" ht="15.75" thickBot="1" x14ac:dyDescent="0.3">
      <c r="A265" s="4"/>
      <c r="B265" s="6"/>
    </row>
    <row r="266" spans="1:2" ht="15.75" thickBot="1" x14ac:dyDescent="0.3">
      <c r="A266" s="4"/>
      <c r="B266" s="4"/>
    </row>
    <row r="267" spans="1:2" ht="15.75" thickBot="1" x14ac:dyDescent="0.3">
      <c r="A267" s="4"/>
      <c r="B267" s="7" t="s">
        <v>181</v>
      </c>
    </row>
    <row r="268" spans="1:2" x14ac:dyDescent="0.25">
      <c r="A268" s="4"/>
      <c r="B268" s="5" t="s">
        <v>412</v>
      </c>
    </row>
    <row r="269" spans="1:2" x14ac:dyDescent="0.25">
      <c r="A269" s="4"/>
      <c r="B269" s="5" t="s">
        <v>158</v>
      </c>
    </row>
    <row r="270" spans="1:2" x14ac:dyDescent="0.25">
      <c r="A270" s="4"/>
      <c r="B270" s="5" t="s">
        <v>159</v>
      </c>
    </row>
    <row r="271" spans="1:2" x14ac:dyDescent="0.25">
      <c r="A271" s="4"/>
      <c r="B271" s="5" t="s">
        <v>220</v>
      </c>
    </row>
    <row r="272" spans="1:2" x14ac:dyDescent="0.25">
      <c r="A272" s="4"/>
      <c r="B272" s="5"/>
    </row>
    <row r="273" spans="1:2" x14ac:dyDescent="0.25">
      <c r="A273" s="4"/>
      <c r="B273" s="5"/>
    </row>
    <row r="274" spans="1:2" x14ac:dyDescent="0.25">
      <c r="A274" s="4"/>
      <c r="B274" s="5"/>
    </row>
    <row r="275" spans="1:2" x14ac:dyDescent="0.25">
      <c r="A275" s="4"/>
      <c r="B275" s="5"/>
    </row>
    <row r="276" spans="1:2" x14ac:dyDescent="0.25">
      <c r="A276" s="4"/>
      <c r="B276" s="5"/>
    </row>
    <row r="277" spans="1:2" ht="15.75" thickBot="1" x14ac:dyDescent="0.3">
      <c r="A277" s="4"/>
      <c r="B277" s="6"/>
    </row>
    <row r="278" spans="1:2" ht="15.75" thickBot="1" x14ac:dyDescent="0.3">
      <c r="A278" s="4"/>
      <c r="B278" s="4"/>
    </row>
    <row r="279" spans="1:2" ht="15.75" thickBot="1" x14ac:dyDescent="0.3">
      <c r="A279" s="4"/>
      <c r="B279" s="7" t="s">
        <v>182</v>
      </c>
    </row>
    <row r="280" spans="1:2" x14ac:dyDescent="0.25">
      <c r="A280" s="4"/>
      <c r="B280" s="5" t="s">
        <v>412</v>
      </c>
    </row>
    <row r="281" spans="1:2" x14ac:dyDescent="0.25">
      <c r="A281" s="4"/>
      <c r="B281" s="5"/>
    </row>
    <row r="282" spans="1:2" x14ac:dyDescent="0.25">
      <c r="A282" s="4"/>
      <c r="B282" s="5"/>
    </row>
    <row r="283" spans="1:2" x14ac:dyDescent="0.25">
      <c r="A283" s="4"/>
      <c r="B283" s="5"/>
    </row>
    <row r="284" spans="1:2" x14ac:dyDescent="0.25">
      <c r="A284" s="4"/>
      <c r="B284" s="5"/>
    </row>
    <row r="285" spans="1:2" x14ac:dyDescent="0.25">
      <c r="A285" s="4"/>
      <c r="B285" s="5"/>
    </row>
    <row r="286" spans="1:2" x14ac:dyDescent="0.25">
      <c r="A286" s="4"/>
      <c r="B286" s="5"/>
    </row>
    <row r="287" spans="1:2" x14ac:dyDescent="0.25">
      <c r="A287" s="4"/>
      <c r="B287" s="5"/>
    </row>
    <row r="288" spans="1:2" x14ac:dyDescent="0.25">
      <c r="A288" s="4"/>
      <c r="B288" s="5"/>
    </row>
    <row r="289" spans="1:2" ht="15.75" thickBot="1" x14ac:dyDescent="0.3">
      <c r="A289" s="4"/>
      <c r="B289" s="6"/>
    </row>
    <row r="290" spans="1:2" ht="15.75" thickBot="1" x14ac:dyDescent="0.3">
      <c r="A290" s="4"/>
      <c r="B290" s="4"/>
    </row>
    <row r="291" spans="1:2" ht="15.75" thickBot="1" x14ac:dyDescent="0.3">
      <c r="A291" s="4"/>
      <c r="B291" s="7" t="s">
        <v>183</v>
      </c>
    </row>
    <row r="292" spans="1:2" x14ac:dyDescent="0.25">
      <c r="A292" s="4"/>
      <c r="B292" s="5" t="s">
        <v>412</v>
      </c>
    </row>
    <row r="293" spans="1:2" x14ac:dyDescent="0.25">
      <c r="A293" s="4"/>
      <c r="B293" s="5" t="s">
        <v>158</v>
      </c>
    </row>
    <row r="294" spans="1:2" x14ac:dyDescent="0.25">
      <c r="A294" s="4"/>
      <c r="B294" s="5" t="s">
        <v>159</v>
      </c>
    </row>
    <row r="295" spans="1:2" x14ac:dyDescent="0.25">
      <c r="A295" s="4"/>
      <c r="B295" s="5" t="s">
        <v>220</v>
      </c>
    </row>
    <row r="296" spans="1:2" x14ac:dyDescent="0.25">
      <c r="A296" s="4"/>
      <c r="B296" s="5"/>
    </row>
    <row r="297" spans="1:2" x14ac:dyDescent="0.25">
      <c r="A297" s="4"/>
      <c r="B297" s="5"/>
    </row>
    <row r="298" spans="1:2" x14ac:dyDescent="0.25">
      <c r="A298" s="4"/>
      <c r="B298" s="5"/>
    </row>
    <row r="299" spans="1:2" x14ac:dyDescent="0.25">
      <c r="A299" s="4"/>
      <c r="B299" s="5"/>
    </row>
    <row r="300" spans="1:2" x14ac:dyDescent="0.25">
      <c r="A300" s="4"/>
      <c r="B300" s="5"/>
    </row>
    <row r="301" spans="1:2" ht="15.75" thickBot="1" x14ac:dyDescent="0.3">
      <c r="A301" s="4"/>
      <c r="B301" s="6"/>
    </row>
    <row r="302" spans="1:2" ht="15.75" thickBot="1" x14ac:dyDescent="0.3">
      <c r="A302" s="4"/>
      <c r="B302" s="4"/>
    </row>
    <row r="303" spans="1:2" ht="15.75" thickBot="1" x14ac:dyDescent="0.3">
      <c r="A303" s="4"/>
      <c r="B303" s="7" t="s">
        <v>685</v>
      </c>
    </row>
    <row r="304" spans="1:2" x14ac:dyDescent="0.25">
      <c r="A304" s="4"/>
      <c r="B304" s="5" t="s">
        <v>158</v>
      </c>
    </row>
    <row r="305" spans="1:2" x14ac:dyDescent="0.25">
      <c r="A305" s="4"/>
      <c r="B305" s="5" t="s">
        <v>159</v>
      </c>
    </row>
    <row r="306" spans="1:2" x14ac:dyDescent="0.25">
      <c r="A306" s="4"/>
      <c r="B306" s="5" t="s">
        <v>220</v>
      </c>
    </row>
    <row r="307" spans="1:2" x14ac:dyDescent="0.25">
      <c r="A307" s="4"/>
      <c r="B307" s="5" t="s">
        <v>412</v>
      </c>
    </row>
    <row r="308" spans="1:2" x14ac:dyDescent="0.25">
      <c r="A308" s="4"/>
      <c r="B308" s="5"/>
    </row>
    <row r="309" spans="1:2" x14ac:dyDescent="0.25">
      <c r="A309" s="4"/>
      <c r="B309" s="5"/>
    </row>
    <row r="310" spans="1:2" x14ac:dyDescent="0.25">
      <c r="A310" s="4"/>
      <c r="B310" s="5"/>
    </row>
    <row r="311" spans="1:2" x14ac:dyDescent="0.25">
      <c r="A311" s="4"/>
      <c r="B311" s="5"/>
    </row>
    <row r="312" spans="1:2" x14ac:dyDescent="0.25">
      <c r="A312" s="4"/>
      <c r="B312" s="5"/>
    </row>
    <row r="313" spans="1:2" ht="15.75" thickBot="1" x14ac:dyDescent="0.3">
      <c r="A313" s="4"/>
      <c r="B313" s="6"/>
    </row>
    <row r="314" spans="1:2" ht="15.75" thickBot="1" x14ac:dyDescent="0.3">
      <c r="A314" s="4"/>
      <c r="B314" s="4"/>
    </row>
    <row r="315" spans="1:2" ht="15.75" thickBot="1" x14ac:dyDescent="0.3">
      <c r="A315" s="4"/>
      <c r="B315" s="7" t="s">
        <v>184</v>
      </c>
    </row>
    <row r="316" spans="1:2" x14ac:dyDescent="0.25">
      <c r="A316" s="4"/>
      <c r="B316" s="5" t="s">
        <v>412</v>
      </c>
    </row>
    <row r="317" spans="1:2" x14ac:dyDescent="0.25">
      <c r="A317" s="4"/>
      <c r="B317" s="5"/>
    </row>
    <row r="318" spans="1:2" x14ac:dyDescent="0.25">
      <c r="A318" s="4"/>
      <c r="B318" s="5"/>
    </row>
    <row r="319" spans="1:2" x14ac:dyDescent="0.25">
      <c r="A319" s="4"/>
      <c r="B319" s="5"/>
    </row>
    <row r="320" spans="1:2" x14ac:dyDescent="0.25">
      <c r="A320" s="4"/>
      <c r="B320" s="5"/>
    </row>
    <row r="321" spans="1:2" x14ac:dyDescent="0.25">
      <c r="A321" s="4"/>
      <c r="B321" s="5"/>
    </row>
    <row r="322" spans="1:2" x14ac:dyDescent="0.25">
      <c r="A322" s="4"/>
      <c r="B322" s="5"/>
    </row>
    <row r="323" spans="1:2" x14ac:dyDescent="0.25">
      <c r="A323" s="4"/>
      <c r="B323" s="5"/>
    </row>
    <row r="324" spans="1:2" x14ac:dyDescent="0.25">
      <c r="A324" s="4"/>
      <c r="B324" s="5"/>
    </row>
    <row r="325" spans="1:2" ht="15.75" thickBot="1" x14ac:dyDescent="0.3">
      <c r="A325" s="4"/>
      <c r="B325" s="6"/>
    </row>
    <row r="326" spans="1:2" ht="15.75" thickBot="1" x14ac:dyDescent="0.3">
      <c r="A326" s="4"/>
      <c r="B326" s="4"/>
    </row>
    <row r="327" spans="1:2" ht="15.75" thickBot="1" x14ac:dyDescent="0.3">
      <c r="A327" s="4"/>
      <c r="B327" s="7" t="s">
        <v>185</v>
      </c>
    </row>
    <row r="328" spans="1:2" x14ac:dyDescent="0.25">
      <c r="A328" s="4"/>
      <c r="B328" s="5" t="s">
        <v>412</v>
      </c>
    </row>
    <row r="329" spans="1:2" x14ac:dyDescent="0.25">
      <c r="A329" s="4"/>
      <c r="B329" s="5"/>
    </row>
    <row r="330" spans="1:2" x14ac:dyDescent="0.25">
      <c r="A330" s="4"/>
      <c r="B330" s="5"/>
    </row>
    <row r="331" spans="1:2" x14ac:dyDescent="0.25">
      <c r="A331" s="4"/>
      <c r="B331" s="5"/>
    </row>
    <row r="332" spans="1:2" x14ac:dyDescent="0.25">
      <c r="A332" s="4"/>
      <c r="B332" s="5"/>
    </row>
    <row r="333" spans="1:2" x14ac:dyDescent="0.25">
      <c r="A333" s="4"/>
      <c r="B333" s="5"/>
    </row>
    <row r="334" spans="1:2" x14ac:dyDescent="0.25">
      <c r="A334" s="4"/>
      <c r="B334" s="5"/>
    </row>
    <row r="335" spans="1:2" x14ac:dyDescent="0.25">
      <c r="A335" s="4"/>
      <c r="B335" s="5"/>
    </row>
    <row r="336" spans="1:2" x14ac:dyDescent="0.25">
      <c r="A336" s="4"/>
      <c r="B336" s="5"/>
    </row>
    <row r="337" spans="1:2" ht="15.75" thickBot="1" x14ac:dyDescent="0.3">
      <c r="A337" s="4"/>
      <c r="B337" s="6"/>
    </row>
    <row r="338" spans="1:2" ht="15.75" thickBot="1" x14ac:dyDescent="0.3">
      <c r="A338" s="4"/>
      <c r="B338" s="4"/>
    </row>
    <row r="339" spans="1:2" ht="15.75" thickBot="1" x14ac:dyDescent="0.3">
      <c r="A339" s="4"/>
      <c r="B339" s="7" t="s">
        <v>186</v>
      </c>
    </row>
    <row r="340" spans="1:2" x14ac:dyDescent="0.25">
      <c r="A340" s="4"/>
      <c r="B340" s="5" t="s">
        <v>412</v>
      </c>
    </row>
    <row r="341" spans="1:2" x14ac:dyDescent="0.25">
      <c r="A341" s="4"/>
      <c r="B341" s="5" t="s">
        <v>158</v>
      </c>
    </row>
    <row r="342" spans="1:2" x14ac:dyDescent="0.25">
      <c r="A342" s="4"/>
      <c r="B342" s="5" t="s">
        <v>159</v>
      </c>
    </row>
    <row r="343" spans="1:2" x14ac:dyDescent="0.25">
      <c r="A343" s="4"/>
      <c r="B343" s="5" t="s">
        <v>220</v>
      </c>
    </row>
    <row r="344" spans="1:2" x14ac:dyDescent="0.25">
      <c r="A344" s="4"/>
      <c r="B344" s="5"/>
    </row>
    <row r="345" spans="1:2" x14ac:dyDescent="0.25">
      <c r="A345" s="4"/>
      <c r="B345" s="5"/>
    </row>
    <row r="346" spans="1:2" x14ac:dyDescent="0.25">
      <c r="A346" s="4"/>
      <c r="B346" s="5"/>
    </row>
    <row r="347" spans="1:2" x14ac:dyDescent="0.25">
      <c r="A347" s="4"/>
      <c r="B347" s="5"/>
    </row>
    <row r="348" spans="1:2" x14ac:dyDescent="0.25">
      <c r="A348" s="4"/>
      <c r="B348" s="5"/>
    </row>
    <row r="349" spans="1:2" ht="15.75" thickBot="1" x14ac:dyDescent="0.3">
      <c r="A349" s="4"/>
      <c r="B349" s="6"/>
    </row>
    <row r="350" spans="1:2" ht="15.75" thickBot="1" x14ac:dyDescent="0.3">
      <c r="A350" s="4"/>
      <c r="B350" s="4"/>
    </row>
    <row r="351" spans="1:2" ht="15.75" thickBot="1" x14ac:dyDescent="0.3">
      <c r="A351" s="4"/>
      <c r="B351" s="7" t="s">
        <v>187</v>
      </c>
    </row>
    <row r="352" spans="1:2" x14ac:dyDescent="0.25">
      <c r="A352" s="4"/>
      <c r="B352" s="5" t="s">
        <v>158</v>
      </c>
    </row>
    <row r="353" spans="1:2" x14ac:dyDescent="0.25">
      <c r="A353" s="4"/>
      <c r="B353" s="5" t="s">
        <v>159</v>
      </c>
    </row>
    <row r="354" spans="1:2" x14ac:dyDescent="0.25">
      <c r="A354" s="4"/>
      <c r="B354" s="5" t="s">
        <v>220</v>
      </c>
    </row>
    <row r="355" spans="1:2" x14ac:dyDescent="0.25">
      <c r="A355" s="4"/>
      <c r="B355" s="5" t="s">
        <v>164</v>
      </c>
    </row>
    <row r="356" spans="1:2" x14ac:dyDescent="0.25">
      <c r="A356" s="4"/>
      <c r="B356" s="5" t="s">
        <v>413</v>
      </c>
    </row>
    <row r="357" spans="1:2" x14ac:dyDescent="0.25">
      <c r="A357" s="4"/>
      <c r="B357" s="5"/>
    </row>
    <row r="358" spans="1:2" x14ac:dyDescent="0.25">
      <c r="A358" s="4"/>
      <c r="B358" s="5"/>
    </row>
    <row r="359" spans="1:2" x14ac:dyDescent="0.25">
      <c r="A359" s="4"/>
      <c r="B359" s="5"/>
    </row>
    <row r="360" spans="1:2" x14ac:dyDescent="0.25">
      <c r="A360" s="4"/>
      <c r="B360" s="5"/>
    </row>
    <row r="361" spans="1:2" ht="15.75" thickBot="1" x14ac:dyDescent="0.3">
      <c r="A361" s="4"/>
      <c r="B361" s="6"/>
    </row>
    <row r="362" spans="1:2" ht="15.75" thickBot="1" x14ac:dyDescent="0.3">
      <c r="A362" s="4"/>
      <c r="B362" s="4"/>
    </row>
    <row r="363" spans="1:2" ht="15.75" thickBot="1" x14ac:dyDescent="0.3">
      <c r="A363" s="4"/>
      <c r="B363" s="7" t="s">
        <v>662</v>
      </c>
    </row>
    <row r="364" spans="1:2" x14ac:dyDescent="0.25">
      <c r="A364" s="4"/>
      <c r="B364" s="5" t="s">
        <v>220</v>
      </c>
    </row>
    <row r="365" spans="1:2" x14ac:dyDescent="0.25">
      <c r="A365" s="4"/>
      <c r="B365" s="5" t="s">
        <v>413</v>
      </c>
    </row>
    <row r="366" spans="1:2" x14ac:dyDescent="0.25">
      <c r="A366" s="4"/>
      <c r="B366" s="5"/>
    </row>
    <row r="367" spans="1:2" x14ac:dyDescent="0.25">
      <c r="A367" s="4"/>
      <c r="B367" s="5"/>
    </row>
    <row r="368" spans="1:2" x14ac:dyDescent="0.25">
      <c r="A368" s="4"/>
      <c r="B368" s="5"/>
    </row>
    <row r="369" spans="1:2" x14ac:dyDescent="0.25">
      <c r="A369" s="4"/>
      <c r="B369" s="5"/>
    </row>
    <row r="370" spans="1:2" x14ac:dyDescent="0.25">
      <c r="A370" s="4"/>
      <c r="B370" s="5"/>
    </row>
    <row r="371" spans="1:2" x14ac:dyDescent="0.25">
      <c r="A371" s="4"/>
      <c r="B371" s="5"/>
    </row>
    <row r="372" spans="1:2" x14ac:dyDescent="0.25">
      <c r="A372" s="4"/>
      <c r="B372" s="5"/>
    </row>
    <row r="373" spans="1:2" ht="15.75" thickBot="1" x14ac:dyDescent="0.3">
      <c r="A373" s="4"/>
      <c r="B373" s="6"/>
    </row>
    <row r="374" spans="1:2" ht="15.75" thickBot="1" x14ac:dyDescent="0.3">
      <c r="A374" s="4"/>
      <c r="B374" s="4"/>
    </row>
    <row r="375" spans="1:2" ht="15.75" thickBot="1" x14ac:dyDescent="0.3">
      <c r="A375" s="4"/>
      <c r="B375" s="7" t="s">
        <v>188</v>
      </c>
    </row>
    <row r="376" spans="1:2" x14ac:dyDescent="0.25">
      <c r="A376" s="4"/>
      <c r="B376" s="5" t="s">
        <v>413</v>
      </c>
    </row>
    <row r="377" spans="1:2" x14ac:dyDescent="0.25">
      <c r="A377" s="4"/>
      <c r="B377" s="5" t="s">
        <v>220</v>
      </c>
    </row>
    <row r="378" spans="1:2" x14ac:dyDescent="0.25">
      <c r="A378" s="4"/>
      <c r="B378" s="5"/>
    </row>
    <row r="379" spans="1:2" x14ac:dyDescent="0.25">
      <c r="A379" s="4"/>
      <c r="B379" s="5"/>
    </row>
    <row r="380" spans="1:2" x14ac:dyDescent="0.25">
      <c r="A380" s="4"/>
      <c r="B380" s="5"/>
    </row>
    <row r="381" spans="1:2" x14ac:dyDescent="0.25">
      <c r="A381" s="4"/>
      <c r="B381" s="5"/>
    </row>
    <row r="382" spans="1:2" x14ac:dyDescent="0.25">
      <c r="A382" s="4"/>
      <c r="B382" s="5"/>
    </row>
    <row r="383" spans="1:2" x14ac:dyDescent="0.25">
      <c r="A383" s="4"/>
      <c r="B383" s="5"/>
    </row>
    <row r="384" spans="1:2" x14ac:dyDescent="0.25">
      <c r="A384" s="4"/>
      <c r="B384" s="5"/>
    </row>
    <row r="385" spans="1:2" ht="15.75" thickBot="1" x14ac:dyDescent="0.3">
      <c r="A385" s="4"/>
      <c r="B385" s="6"/>
    </row>
    <row r="386" spans="1:2" ht="15.75" thickBot="1" x14ac:dyDescent="0.3">
      <c r="A386" s="4"/>
      <c r="B386" s="4"/>
    </row>
    <row r="387" spans="1:2" ht="15.75" thickBot="1" x14ac:dyDescent="0.3">
      <c r="A387" s="4"/>
      <c r="B387" s="7" t="s">
        <v>189</v>
      </c>
    </row>
    <row r="388" spans="1:2" x14ac:dyDescent="0.25">
      <c r="A388" s="4"/>
      <c r="B388" s="5" t="s">
        <v>413</v>
      </c>
    </row>
    <row r="389" spans="1:2" x14ac:dyDescent="0.25">
      <c r="A389" s="4"/>
      <c r="B389" s="5" t="s">
        <v>158</v>
      </c>
    </row>
    <row r="390" spans="1:2" x14ac:dyDescent="0.25">
      <c r="A390" s="4"/>
      <c r="B390" s="5" t="s">
        <v>159</v>
      </c>
    </row>
    <row r="391" spans="1:2" x14ac:dyDescent="0.25">
      <c r="A391" s="4"/>
      <c r="B391" s="5" t="s">
        <v>220</v>
      </c>
    </row>
    <row r="392" spans="1:2" x14ac:dyDescent="0.25">
      <c r="A392" s="4"/>
      <c r="B392" s="5" t="s">
        <v>164</v>
      </c>
    </row>
    <row r="393" spans="1:2" x14ac:dyDescent="0.25">
      <c r="A393" s="4"/>
      <c r="B393" s="5"/>
    </row>
    <row r="394" spans="1:2" x14ac:dyDescent="0.25">
      <c r="A394" s="4"/>
      <c r="B394" s="5"/>
    </row>
    <row r="395" spans="1:2" x14ac:dyDescent="0.25">
      <c r="A395" s="4"/>
      <c r="B395" s="5"/>
    </row>
    <row r="396" spans="1:2" x14ac:dyDescent="0.25">
      <c r="A396" s="4"/>
      <c r="B396" s="5"/>
    </row>
    <row r="397" spans="1:2" ht="15.75" thickBot="1" x14ac:dyDescent="0.3">
      <c r="A397" s="4"/>
      <c r="B397" s="6"/>
    </row>
    <row r="398" spans="1:2" ht="15.75" thickBot="1" x14ac:dyDescent="0.3">
      <c r="A398" s="4"/>
      <c r="B398" s="4"/>
    </row>
    <row r="399" spans="1:2" ht="15.75" thickBot="1" x14ac:dyDescent="0.3">
      <c r="A399" s="4"/>
      <c r="B399" s="7" t="s">
        <v>686</v>
      </c>
    </row>
    <row r="400" spans="1:2" x14ac:dyDescent="0.25">
      <c r="A400" s="4"/>
      <c r="B400" s="5" t="s">
        <v>158</v>
      </c>
    </row>
    <row r="401" spans="1:2" x14ac:dyDescent="0.25">
      <c r="A401" s="4"/>
      <c r="B401" s="5" t="s">
        <v>159</v>
      </c>
    </row>
    <row r="402" spans="1:2" x14ac:dyDescent="0.25">
      <c r="A402" s="4"/>
      <c r="B402" s="5" t="s">
        <v>220</v>
      </c>
    </row>
    <row r="403" spans="1:2" x14ac:dyDescent="0.25">
      <c r="A403" s="4"/>
      <c r="B403" s="5" t="s">
        <v>164</v>
      </c>
    </row>
    <row r="404" spans="1:2" x14ac:dyDescent="0.25">
      <c r="A404" s="4"/>
      <c r="B404" s="5" t="s">
        <v>413</v>
      </c>
    </row>
    <row r="405" spans="1:2" x14ac:dyDescent="0.25">
      <c r="A405" s="4"/>
      <c r="B405" s="5"/>
    </row>
    <row r="406" spans="1:2" x14ac:dyDescent="0.25">
      <c r="A406" s="4"/>
      <c r="B406" s="5"/>
    </row>
    <row r="407" spans="1:2" x14ac:dyDescent="0.25">
      <c r="A407" s="4"/>
      <c r="B407" s="5"/>
    </row>
    <row r="408" spans="1:2" x14ac:dyDescent="0.25">
      <c r="A408" s="4"/>
      <c r="B408" s="5"/>
    </row>
    <row r="409" spans="1:2" ht="15.75" thickBot="1" x14ac:dyDescent="0.3">
      <c r="A409" s="4"/>
      <c r="B409" s="6"/>
    </row>
    <row r="410" spans="1:2" ht="15.75" thickBot="1" x14ac:dyDescent="0.3">
      <c r="A410" s="4"/>
      <c r="B410" s="4"/>
    </row>
    <row r="411" spans="1:2" ht="15.75" thickBot="1" x14ac:dyDescent="0.3">
      <c r="A411" s="4"/>
      <c r="B411" s="7" t="s">
        <v>663</v>
      </c>
    </row>
    <row r="412" spans="1:2" x14ac:dyDescent="0.25">
      <c r="A412" s="4"/>
      <c r="B412" s="5" t="s">
        <v>157</v>
      </c>
    </row>
    <row r="413" spans="1:2" x14ac:dyDescent="0.25">
      <c r="A413" s="4"/>
      <c r="B413" s="5" t="s">
        <v>158</v>
      </c>
    </row>
    <row r="414" spans="1:2" x14ac:dyDescent="0.25">
      <c r="A414" s="4"/>
      <c r="B414" s="5" t="s">
        <v>159</v>
      </c>
    </row>
    <row r="415" spans="1:2" x14ac:dyDescent="0.25">
      <c r="A415" s="4"/>
      <c r="B415" s="5" t="s">
        <v>220</v>
      </c>
    </row>
    <row r="416" spans="1:2" x14ac:dyDescent="0.25">
      <c r="A416" s="4"/>
      <c r="B416" s="5" t="s">
        <v>164</v>
      </c>
    </row>
    <row r="417" spans="1:2" x14ac:dyDescent="0.25">
      <c r="A417" s="4"/>
      <c r="B417" s="5" t="s">
        <v>413</v>
      </c>
    </row>
    <row r="418" spans="1:2" x14ac:dyDescent="0.25">
      <c r="A418" s="4"/>
      <c r="B418" s="5"/>
    </row>
    <row r="419" spans="1:2" x14ac:dyDescent="0.25">
      <c r="A419" s="4"/>
      <c r="B419" s="5"/>
    </row>
    <row r="420" spans="1:2" x14ac:dyDescent="0.25">
      <c r="A420" s="4"/>
      <c r="B420" s="5"/>
    </row>
    <row r="421" spans="1:2" ht="15.75" thickBot="1" x14ac:dyDescent="0.3">
      <c r="A421" s="4"/>
      <c r="B421" s="6"/>
    </row>
    <row r="422" spans="1:2" ht="15.75" thickBot="1" x14ac:dyDescent="0.3">
      <c r="A422" s="4"/>
      <c r="B422" s="4"/>
    </row>
    <row r="423" spans="1:2" ht="15.75" thickBot="1" x14ac:dyDescent="0.3">
      <c r="A423" s="4"/>
      <c r="B423" s="7" t="s">
        <v>190</v>
      </c>
    </row>
    <row r="424" spans="1:2" x14ac:dyDescent="0.25">
      <c r="A424" s="4"/>
      <c r="B424" s="5" t="s">
        <v>413</v>
      </c>
    </row>
    <row r="425" spans="1:2" x14ac:dyDescent="0.25">
      <c r="A425" s="4"/>
      <c r="B425" s="5" t="s">
        <v>220</v>
      </c>
    </row>
    <row r="426" spans="1:2" x14ac:dyDescent="0.25">
      <c r="A426" s="4"/>
      <c r="B426" s="5" t="s">
        <v>164</v>
      </c>
    </row>
    <row r="427" spans="1:2" x14ac:dyDescent="0.25">
      <c r="A427" s="4"/>
      <c r="B427" s="5"/>
    </row>
    <row r="428" spans="1:2" x14ac:dyDescent="0.25">
      <c r="A428" s="4"/>
      <c r="B428" s="5"/>
    </row>
    <row r="429" spans="1:2" x14ac:dyDescent="0.25">
      <c r="A429" s="4"/>
      <c r="B429" s="5"/>
    </row>
    <row r="430" spans="1:2" x14ac:dyDescent="0.25">
      <c r="A430" s="4"/>
      <c r="B430" s="5"/>
    </row>
    <row r="431" spans="1:2" x14ac:dyDescent="0.25">
      <c r="A431" s="4"/>
      <c r="B431" s="5"/>
    </row>
    <row r="432" spans="1:2" x14ac:dyDescent="0.25">
      <c r="A432" s="4"/>
      <c r="B432" s="5"/>
    </row>
    <row r="433" spans="1:2" ht="15.75" thickBot="1" x14ac:dyDescent="0.3">
      <c r="A433" s="4"/>
      <c r="B433" s="6"/>
    </row>
    <row r="434" spans="1:2" ht="15.75" thickBot="1" x14ac:dyDescent="0.3">
      <c r="A434" s="4"/>
      <c r="B434" s="4"/>
    </row>
    <row r="435" spans="1:2" ht="15.75" thickBot="1" x14ac:dyDescent="0.3">
      <c r="A435" s="4"/>
      <c r="B435" s="7" t="s">
        <v>191</v>
      </c>
    </row>
    <row r="436" spans="1:2" x14ac:dyDescent="0.25">
      <c r="A436" s="4"/>
      <c r="B436" s="5" t="s">
        <v>158</v>
      </c>
    </row>
    <row r="437" spans="1:2" x14ac:dyDescent="0.25">
      <c r="A437" s="4"/>
      <c r="B437" s="5" t="s">
        <v>159</v>
      </c>
    </row>
    <row r="438" spans="1:2" x14ac:dyDescent="0.25">
      <c r="A438" s="4"/>
      <c r="B438" s="5" t="s">
        <v>220</v>
      </c>
    </row>
    <row r="439" spans="1:2" x14ac:dyDescent="0.25">
      <c r="A439" s="4"/>
      <c r="B439" s="5" t="s">
        <v>164</v>
      </c>
    </row>
    <row r="440" spans="1:2" x14ac:dyDescent="0.25">
      <c r="A440" s="4"/>
      <c r="B440" s="5" t="s">
        <v>413</v>
      </c>
    </row>
    <row r="441" spans="1:2" x14ac:dyDescent="0.25">
      <c r="A441" s="4"/>
      <c r="B441" s="5"/>
    </row>
    <row r="442" spans="1:2" x14ac:dyDescent="0.25">
      <c r="A442" s="4"/>
      <c r="B442" s="5"/>
    </row>
    <row r="443" spans="1:2" x14ac:dyDescent="0.25">
      <c r="A443" s="4"/>
      <c r="B443" s="5"/>
    </row>
    <row r="444" spans="1:2" x14ac:dyDescent="0.25">
      <c r="A444" s="4"/>
      <c r="B444" s="5"/>
    </row>
    <row r="445" spans="1:2" ht="15.75" thickBot="1" x14ac:dyDescent="0.3">
      <c r="A445" s="4"/>
      <c r="B445" s="6"/>
    </row>
    <row r="446" spans="1:2" ht="15.75" thickBot="1" x14ac:dyDescent="0.3">
      <c r="A446" s="4"/>
      <c r="B446" s="4"/>
    </row>
    <row r="447" spans="1:2" ht="15.75" thickBot="1" x14ac:dyDescent="0.3">
      <c r="A447" s="4"/>
      <c r="B447" s="7" t="s">
        <v>192</v>
      </c>
    </row>
    <row r="448" spans="1:2" x14ac:dyDescent="0.25">
      <c r="A448" s="4"/>
      <c r="B448" s="5" t="s">
        <v>414</v>
      </c>
    </row>
    <row r="449" spans="1:2" x14ac:dyDescent="0.25">
      <c r="A449" s="4"/>
      <c r="B449" s="5" t="s">
        <v>220</v>
      </c>
    </row>
    <row r="450" spans="1:2" x14ac:dyDescent="0.25">
      <c r="A450" s="4"/>
      <c r="B450" s="5"/>
    </row>
    <row r="451" spans="1:2" x14ac:dyDescent="0.25">
      <c r="A451" s="4"/>
      <c r="B451" s="5"/>
    </row>
    <row r="452" spans="1:2" x14ac:dyDescent="0.25">
      <c r="A452" s="4"/>
      <c r="B452" s="5"/>
    </row>
    <row r="453" spans="1:2" x14ac:dyDescent="0.25">
      <c r="A453" s="4"/>
      <c r="B453" s="5"/>
    </row>
    <row r="454" spans="1:2" x14ac:dyDescent="0.25">
      <c r="A454" s="4"/>
      <c r="B454" s="5"/>
    </row>
    <row r="455" spans="1:2" x14ac:dyDescent="0.25">
      <c r="A455" s="4"/>
      <c r="B455" s="5"/>
    </row>
    <row r="456" spans="1:2" x14ac:dyDescent="0.25">
      <c r="A456" s="4"/>
      <c r="B456" s="5"/>
    </row>
    <row r="457" spans="1:2" ht="15.75" thickBot="1" x14ac:dyDescent="0.3">
      <c r="A457" s="4"/>
      <c r="B457" s="6"/>
    </row>
    <row r="458" spans="1:2" ht="15.75" thickBot="1" x14ac:dyDescent="0.3">
      <c r="A458" s="4"/>
      <c r="B458" s="4"/>
    </row>
    <row r="459" spans="1:2" ht="15.75" thickBot="1" x14ac:dyDescent="0.3">
      <c r="A459" s="4"/>
      <c r="B459" s="7" t="s">
        <v>193</v>
      </c>
    </row>
    <row r="460" spans="1:2" x14ac:dyDescent="0.25">
      <c r="A460" s="4"/>
      <c r="B460" s="5" t="s">
        <v>414</v>
      </c>
    </row>
    <row r="461" spans="1:2" x14ac:dyDescent="0.25">
      <c r="A461" s="4"/>
      <c r="B461" s="5" t="s">
        <v>220</v>
      </c>
    </row>
    <row r="462" spans="1:2" x14ac:dyDescent="0.25">
      <c r="A462" s="4"/>
      <c r="B462" s="5" t="s">
        <v>664</v>
      </c>
    </row>
    <row r="463" spans="1:2" x14ac:dyDescent="0.25">
      <c r="A463" s="4"/>
      <c r="B463" s="5" t="s">
        <v>194</v>
      </c>
    </row>
    <row r="464" spans="1:2" x14ac:dyDescent="0.25">
      <c r="A464" s="4"/>
      <c r="B464" s="5"/>
    </row>
    <row r="465" spans="1:2" x14ac:dyDescent="0.25">
      <c r="A465" s="4"/>
      <c r="B465" s="5"/>
    </row>
    <row r="466" spans="1:2" x14ac:dyDescent="0.25">
      <c r="A466" s="4"/>
      <c r="B466" s="5"/>
    </row>
    <row r="467" spans="1:2" x14ac:dyDescent="0.25">
      <c r="A467" s="4"/>
      <c r="B467" s="5"/>
    </row>
    <row r="468" spans="1:2" x14ac:dyDescent="0.25">
      <c r="A468" s="4"/>
      <c r="B468" s="5"/>
    </row>
    <row r="469" spans="1:2" ht="15.75" thickBot="1" x14ac:dyDescent="0.3">
      <c r="A469" s="4"/>
      <c r="B469" s="6"/>
    </row>
    <row r="470" spans="1:2" ht="15.75" thickBot="1" x14ac:dyDescent="0.3">
      <c r="A470" s="4"/>
      <c r="B470" s="4"/>
    </row>
    <row r="471" spans="1:2" ht="15.75" thickBot="1" x14ac:dyDescent="0.3">
      <c r="A471" s="4"/>
      <c r="B471" s="7" t="s">
        <v>195</v>
      </c>
    </row>
    <row r="472" spans="1:2" x14ac:dyDescent="0.25">
      <c r="A472" s="4"/>
      <c r="B472" s="5" t="s">
        <v>157</v>
      </c>
    </row>
    <row r="473" spans="1:2" x14ac:dyDescent="0.25">
      <c r="A473" s="4"/>
      <c r="B473" s="5" t="s">
        <v>158</v>
      </c>
    </row>
    <row r="474" spans="1:2" x14ac:dyDescent="0.25">
      <c r="A474" s="4"/>
      <c r="B474" s="5" t="s">
        <v>159</v>
      </c>
    </row>
    <row r="475" spans="1:2" x14ac:dyDescent="0.25">
      <c r="A475" s="4"/>
      <c r="B475" s="5" t="s">
        <v>220</v>
      </c>
    </row>
    <row r="476" spans="1:2" x14ac:dyDescent="0.25">
      <c r="A476" s="4"/>
      <c r="B476" s="5" t="s">
        <v>664</v>
      </c>
    </row>
    <row r="477" spans="1:2" x14ac:dyDescent="0.25">
      <c r="A477" s="4"/>
      <c r="B477" s="5" t="s">
        <v>194</v>
      </c>
    </row>
    <row r="478" spans="1:2" x14ac:dyDescent="0.25">
      <c r="A478" s="4"/>
      <c r="B478" s="5" t="s">
        <v>414</v>
      </c>
    </row>
    <row r="479" spans="1:2" x14ac:dyDescent="0.25">
      <c r="A479" s="4"/>
      <c r="B479" s="5"/>
    </row>
    <row r="480" spans="1:2" x14ac:dyDescent="0.25">
      <c r="A480" s="4"/>
      <c r="B480" s="5"/>
    </row>
    <row r="481" spans="1:2" ht="15.75" thickBot="1" x14ac:dyDescent="0.3">
      <c r="A481" s="4"/>
      <c r="B481" s="6"/>
    </row>
    <row r="482" spans="1:2" ht="15.75" thickBot="1" x14ac:dyDescent="0.3">
      <c r="A482" s="4"/>
      <c r="B482" s="4"/>
    </row>
    <row r="483" spans="1:2" ht="15.75" thickBot="1" x14ac:dyDescent="0.3">
      <c r="A483" s="4"/>
      <c r="B483" s="7" t="s">
        <v>196</v>
      </c>
    </row>
    <row r="484" spans="1:2" x14ac:dyDescent="0.25">
      <c r="A484" s="4"/>
      <c r="B484" s="5" t="s">
        <v>157</v>
      </c>
    </row>
    <row r="485" spans="1:2" x14ac:dyDescent="0.25">
      <c r="A485" s="4"/>
      <c r="B485" s="5" t="s">
        <v>158</v>
      </c>
    </row>
    <row r="486" spans="1:2" x14ac:dyDescent="0.25">
      <c r="A486" s="4"/>
      <c r="B486" s="5" t="s">
        <v>159</v>
      </c>
    </row>
    <row r="487" spans="1:2" x14ac:dyDescent="0.25">
      <c r="A487" s="4"/>
      <c r="B487" s="5" t="s">
        <v>220</v>
      </c>
    </row>
    <row r="488" spans="1:2" x14ac:dyDescent="0.25">
      <c r="A488" s="4"/>
      <c r="B488" s="5" t="s">
        <v>664</v>
      </c>
    </row>
    <row r="489" spans="1:2" x14ac:dyDescent="0.25">
      <c r="A489" s="4"/>
      <c r="B489" s="5" t="s">
        <v>194</v>
      </c>
    </row>
    <row r="490" spans="1:2" x14ac:dyDescent="0.25">
      <c r="A490" s="4"/>
      <c r="B490" s="5" t="s">
        <v>414</v>
      </c>
    </row>
    <row r="491" spans="1:2" x14ac:dyDescent="0.25">
      <c r="A491" s="4"/>
      <c r="B491" s="5"/>
    </row>
    <row r="492" spans="1:2" x14ac:dyDescent="0.25">
      <c r="A492" s="4"/>
      <c r="B492" s="5"/>
    </row>
    <row r="493" spans="1:2" ht="15.75" thickBot="1" x14ac:dyDescent="0.3">
      <c r="A493" s="4"/>
      <c r="B493" s="6"/>
    </row>
    <row r="494" spans="1:2" ht="15.75" thickBot="1" x14ac:dyDescent="0.3">
      <c r="A494" s="4"/>
      <c r="B494" s="4"/>
    </row>
    <row r="495" spans="1:2" ht="15.75" thickBot="1" x14ac:dyDescent="0.3">
      <c r="A495" s="4"/>
      <c r="B495" s="7" t="s">
        <v>197</v>
      </c>
    </row>
    <row r="496" spans="1:2" x14ac:dyDescent="0.25">
      <c r="A496" s="4"/>
      <c r="B496" s="5" t="s">
        <v>157</v>
      </c>
    </row>
    <row r="497" spans="1:2" x14ac:dyDescent="0.25">
      <c r="A497" s="4"/>
      <c r="B497" s="5" t="s">
        <v>158</v>
      </c>
    </row>
    <row r="498" spans="1:2" x14ac:dyDescent="0.25">
      <c r="A498" s="4"/>
      <c r="B498" s="5" t="s">
        <v>159</v>
      </c>
    </row>
    <row r="499" spans="1:2" x14ac:dyDescent="0.25">
      <c r="A499" s="4"/>
      <c r="B499" s="5" t="s">
        <v>220</v>
      </c>
    </row>
    <row r="500" spans="1:2" x14ac:dyDescent="0.25">
      <c r="A500" s="4"/>
      <c r="B500" s="5" t="s">
        <v>664</v>
      </c>
    </row>
    <row r="501" spans="1:2" x14ac:dyDescent="0.25">
      <c r="A501" s="4"/>
      <c r="B501" s="5" t="s">
        <v>194</v>
      </c>
    </row>
    <row r="502" spans="1:2" x14ac:dyDescent="0.25">
      <c r="A502" s="4"/>
      <c r="B502" s="5" t="s">
        <v>414</v>
      </c>
    </row>
    <row r="503" spans="1:2" x14ac:dyDescent="0.25">
      <c r="A503" s="4"/>
      <c r="B503" s="5"/>
    </row>
    <row r="504" spans="1:2" x14ac:dyDescent="0.25">
      <c r="A504" s="4"/>
      <c r="B504" s="5"/>
    </row>
    <row r="505" spans="1:2" ht="15.75" thickBot="1" x14ac:dyDescent="0.3">
      <c r="A505" s="4"/>
      <c r="B505" s="6"/>
    </row>
    <row r="506" spans="1:2" ht="15.75" thickBot="1" x14ac:dyDescent="0.3">
      <c r="A506" s="4"/>
      <c r="B506" s="4"/>
    </row>
    <row r="507" spans="1:2" ht="15.75" thickBot="1" x14ac:dyDescent="0.3">
      <c r="A507" s="4"/>
      <c r="B507" s="7" t="s">
        <v>198</v>
      </c>
    </row>
    <row r="508" spans="1:2" x14ac:dyDescent="0.25">
      <c r="A508" s="4"/>
      <c r="B508" s="5" t="s">
        <v>157</v>
      </c>
    </row>
    <row r="509" spans="1:2" x14ac:dyDescent="0.25">
      <c r="A509" s="4"/>
      <c r="B509" s="5" t="s">
        <v>158</v>
      </c>
    </row>
    <row r="510" spans="1:2" x14ac:dyDescent="0.25">
      <c r="A510" s="4"/>
      <c r="B510" s="5" t="s">
        <v>159</v>
      </c>
    </row>
    <row r="511" spans="1:2" x14ac:dyDescent="0.25">
      <c r="A511" s="4"/>
      <c r="B511" s="5" t="s">
        <v>220</v>
      </c>
    </row>
    <row r="512" spans="1:2" x14ac:dyDescent="0.25">
      <c r="A512" s="4"/>
      <c r="B512" s="5" t="s">
        <v>164</v>
      </c>
    </row>
    <row r="513" spans="1:2" x14ac:dyDescent="0.25">
      <c r="A513" s="4"/>
      <c r="B513" s="5" t="s">
        <v>415</v>
      </c>
    </row>
    <row r="514" spans="1:2" x14ac:dyDescent="0.25">
      <c r="A514" s="4"/>
      <c r="B514" s="5"/>
    </row>
    <row r="515" spans="1:2" x14ac:dyDescent="0.25">
      <c r="A515" s="4"/>
      <c r="B515" s="5"/>
    </row>
    <row r="516" spans="1:2" x14ac:dyDescent="0.25">
      <c r="A516" s="4"/>
      <c r="B516" s="5"/>
    </row>
    <row r="517" spans="1:2" ht="15.75" thickBot="1" x14ac:dyDescent="0.3">
      <c r="A517" s="4"/>
      <c r="B517" s="6"/>
    </row>
    <row r="518" spans="1:2" ht="15.75" thickBot="1" x14ac:dyDescent="0.3">
      <c r="A518" s="4"/>
      <c r="B518" s="4"/>
    </row>
    <row r="519" spans="1:2" ht="15.75" thickBot="1" x14ac:dyDescent="0.3">
      <c r="A519" s="4"/>
      <c r="B519" s="7" t="s">
        <v>199</v>
      </c>
    </row>
    <row r="520" spans="1:2" x14ac:dyDescent="0.25">
      <c r="A520" s="4"/>
      <c r="B520" s="5" t="s">
        <v>415</v>
      </c>
    </row>
    <row r="521" spans="1:2" x14ac:dyDescent="0.25">
      <c r="A521" s="4"/>
      <c r="B521" s="5" t="s">
        <v>220</v>
      </c>
    </row>
    <row r="522" spans="1:2" x14ac:dyDescent="0.25">
      <c r="A522" s="4"/>
      <c r="B522" s="5" t="s">
        <v>164</v>
      </c>
    </row>
    <row r="523" spans="1:2" x14ac:dyDescent="0.25">
      <c r="A523" s="4"/>
      <c r="B523" s="5"/>
    </row>
    <row r="524" spans="1:2" x14ac:dyDescent="0.25">
      <c r="A524" s="4"/>
      <c r="B524" s="5"/>
    </row>
    <row r="525" spans="1:2" x14ac:dyDescent="0.25">
      <c r="A525" s="4"/>
      <c r="B525" s="5"/>
    </row>
    <row r="526" spans="1:2" x14ac:dyDescent="0.25">
      <c r="A526" s="4"/>
      <c r="B526" s="5"/>
    </row>
    <row r="527" spans="1:2" x14ac:dyDescent="0.25">
      <c r="A527" s="4"/>
      <c r="B527" s="5"/>
    </row>
    <row r="528" spans="1:2" x14ac:dyDescent="0.25">
      <c r="A528" s="4"/>
      <c r="B528" s="5"/>
    </row>
    <row r="529" spans="1:2" ht="15.75" thickBot="1" x14ac:dyDescent="0.3">
      <c r="A529" s="4"/>
      <c r="B529" s="6"/>
    </row>
    <row r="530" spans="1:2" ht="15.75" thickBot="1" x14ac:dyDescent="0.3">
      <c r="A530" s="4"/>
      <c r="B530" s="4"/>
    </row>
    <row r="531" spans="1:2" ht="15.75" thickBot="1" x14ac:dyDescent="0.3">
      <c r="A531" s="4"/>
      <c r="B531" s="7" t="s">
        <v>200</v>
      </c>
    </row>
    <row r="532" spans="1:2" x14ac:dyDescent="0.25">
      <c r="A532" s="4"/>
      <c r="B532" s="5" t="s">
        <v>157</v>
      </c>
    </row>
    <row r="533" spans="1:2" x14ac:dyDescent="0.25">
      <c r="A533" s="4"/>
      <c r="B533" s="5" t="s">
        <v>158</v>
      </c>
    </row>
    <row r="534" spans="1:2" x14ac:dyDescent="0.25">
      <c r="A534" s="4"/>
      <c r="B534" s="5" t="s">
        <v>159</v>
      </c>
    </row>
    <row r="535" spans="1:2" x14ac:dyDescent="0.25">
      <c r="A535" s="4"/>
      <c r="B535" s="5" t="s">
        <v>220</v>
      </c>
    </row>
    <row r="536" spans="1:2" x14ac:dyDescent="0.25">
      <c r="A536" s="4"/>
      <c r="B536" s="5" t="s">
        <v>164</v>
      </c>
    </row>
    <row r="537" spans="1:2" x14ac:dyDescent="0.25">
      <c r="A537" s="4"/>
      <c r="B537" s="5" t="s">
        <v>415</v>
      </c>
    </row>
    <row r="538" spans="1:2" x14ac:dyDescent="0.25">
      <c r="A538" s="4"/>
      <c r="B538" s="5"/>
    </row>
    <row r="539" spans="1:2" x14ac:dyDescent="0.25">
      <c r="A539" s="4"/>
      <c r="B539" s="5"/>
    </row>
    <row r="540" spans="1:2" x14ac:dyDescent="0.25">
      <c r="A540" s="4"/>
      <c r="B540" s="5"/>
    </row>
    <row r="541" spans="1:2" ht="15.75" thickBot="1" x14ac:dyDescent="0.3">
      <c r="A541" s="4"/>
      <c r="B541" s="6"/>
    </row>
    <row r="542" spans="1:2" ht="15.75" thickBot="1" x14ac:dyDescent="0.3">
      <c r="A542" s="4"/>
      <c r="B542" s="4"/>
    </row>
    <row r="543" spans="1:2" ht="15.75" thickBot="1" x14ac:dyDescent="0.3">
      <c r="A543" s="4"/>
      <c r="B543" s="7" t="s">
        <v>687</v>
      </c>
    </row>
    <row r="544" spans="1:2" x14ac:dyDescent="0.25">
      <c r="A544" s="4"/>
      <c r="B544" s="5" t="s">
        <v>157</v>
      </c>
    </row>
    <row r="545" spans="1:2" x14ac:dyDescent="0.25">
      <c r="A545" s="4"/>
      <c r="B545" s="5" t="s">
        <v>158</v>
      </c>
    </row>
    <row r="546" spans="1:2" x14ac:dyDescent="0.25">
      <c r="A546" s="4"/>
      <c r="B546" s="5" t="s">
        <v>159</v>
      </c>
    </row>
    <row r="547" spans="1:2" x14ac:dyDescent="0.25">
      <c r="A547" s="4"/>
      <c r="B547" s="5" t="s">
        <v>220</v>
      </c>
    </row>
    <row r="548" spans="1:2" x14ac:dyDescent="0.25">
      <c r="A548" s="4"/>
      <c r="B548" s="5" t="s">
        <v>164</v>
      </c>
    </row>
    <row r="549" spans="1:2" x14ac:dyDescent="0.25">
      <c r="A549" s="4"/>
      <c r="B549" s="5" t="s">
        <v>415</v>
      </c>
    </row>
    <row r="550" spans="1:2" x14ac:dyDescent="0.25">
      <c r="A550" s="4"/>
      <c r="B550" s="5"/>
    </row>
    <row r="551" spans="1:2" x14ac:dyDescent="0.25">
      <c r="A551" s="4"/>
      <c r="B551" s="5"/>
    </row>
    <row r="552" spans="1:2" x14ac:dyDescent="0.25">
      <c r="A552" s="4"/>
      <c r="B552" s="5"/>
    </row>
    <row r="553" spans="1:2" ht="15.75" thickBot="1" x14ac:dyDescent="0.3">
      <c r="A553" s="4"/>
      <c r="B553" s="6"/>
    </row>
    <row r="554" spans="1:2" ht="15.75" thickBot="1" x14ac:dyDescent="0.3">
      <c r="A554" s="4"/>
      <c r="B554" s="4"/>
    </row>
    <row r="555" spans="1:2" ht="15.75" thickBot="1" x14ac:dyDescent="0.3">
      <c r="A555" s="4"/>
      <c r="B555" s="7" t="s">
        <v>201</v>
      </c>
    </row>
    <row r="556" spans="1:2" x14ac:dyDescent="0.25">
      <c r="A556" s="4"/>
      <c r="B556" s="5" t="s">
        <v>157</v>
      </c>
    </row>
    <row r="557" spans="1:2" x14ac:dyDescent="0.25">
      <c r="A557" s="4"/>
      <c r="B557" s="5" t="s">
        <v>158</v>
      </c>
    </row>
    <row r="558" spans="1:2" x14ac:dyDescent="0.25">
      <c r="A558" s="4"/>
      <c r="B558" s="5" t="s">
        <v>159</v>
      </c>
    </row>
    <row r="559" spans="1:2" x14ac:dyDescent="0.25">
      <c r="A559" s="4"/>
      <c r="B559" s="5" t="s">
        <v>220</v>
      </c>
    </row>
    <row r="560" spans="1:2" x14ac:dyDescent="0.25">
      <c r="A560" s="4"/>
      <c r="B560" s="5" t="s">
        <v>164</v>
      </c>
    </row>
    <row r="561" spans="1:2" x14ac:dyDescent="0.25">
      <c r="A561" s="4"/>
      <c r="B561" s="5" t="s">
        <v>415</v>
      </c>
    </row>
    <row r="562" spans="1:2" x14ac:dyDescent="0.25">
      <c r="A562" s="4"/>
      <c r="B562" s="5"/>
    </row>
    <row r="563" spans="1:2" x14ac:dyDescent="0.25">
      <c r="A563" s="4"/>
      <c r="B563" s="5"/>
    </row>
    <row r="564" spans="1:2" x14ac:dyDescent="0.25">
      <c r="A564" s="4"/>
      <c r="B564" s="5"/>
    </row>
    <row r="565" spans="1:2" ht="15.75" thickBot="1" x14ac:dyDescent="0.3">
      <c r="A565" s="4"/>
      <c r="B565" s="6"/>
    </row>
    <row r="566" spans="1:2" ht="15.75" thickBot="1" x14ac:dyDescent="0.3">
      <c r="A566" s="4"/>
      <c r="B566" s="4"/>
    </row>
    <row r="567" spans="1:2" ht="15.75" thickBot="1" x14ac:dyDescent="0.3">
      <c r="A567" s="4"/>
      <c r="B567" s="7" t="s">
        <v>202</v>
      </c>
    </row>
    <row r="568" spans="1:2" x14ac:dyDescent="0.25">
      <c r="A568" s="4"/>
      <c r="B568" s="5" t="s">
        <v>415</v>
      </c>
    </row>
    <row r="569" spans="1:2" x14ac:dyDescent="0.25">
      <c r="A569" s="4"/>
      <c r="B569" s="5" t="s">
        <v>220</v>
      </c>
    </row>
    <row r="570" spans="1:2" x14ac:dyDescent="0.25">
      <c r="A570" s="4"/>
      <c r="B570" s="5" t="s">
        <v>164</v>
      </c>
    </row>
    <row r="571" spans="1:2" x14ac:dyDescent="0.25">
      <c r="A571" s="4"/>
      <c r="B571" s="5"/>
    </row>
    <row r="572" spans="1:2" x14ac:dyDescent="0.25">
      <c r="A572" s="4"/>
      <c r="B572" s="5"/>
    </row>
    <row r="573" spans="1:2" x14ac:dyDescent="0.25">
      <c r="A573" s="4"/>
      <c r="B573" s="5"/>
    </row>
    <row r="574" spans="1:2" x14ac:dyDescent="0.25">
      <c r="A574" s="4"/>
      <c r="B574" s="5"/>
    </row>
    <row r="575" spans="1:2" x14ac:dyDescent="0.25">
      <c r="A575" s="4"/>
      <c r="B575" s="5"/>
    </row>
    <row r="576" spans="1:2" x14ac:dyDescent="0.25">
      <c r="A576" s="4"/>
      <c r="B576" s="5"/>
    </row>
    <row r="577" spans="1:2" ht="15.75" thickBot="1" x14ac:dyDescent="0.3">
      <c r="A577" s="4"/>
      <c r="B577" s="6"/>
    </row>
    <row r="578" spans="1:2" ht="15.75" thickBot="1" x14ac:dyDescent="0.3">
      <c r="A578" s="4"/>
      <c r="B578" s="4"/>
    </row>
    <row r="579" spans="1:2" ht="15.75" thickBot="1" x14ac:dyDescent="0.3">
      <c r="A579" s="4"/>
      <c r="B579" s="7" t="s">
        <v>203</v>
      </c>
    </row>
    <row r="580" spans="1:2" x14ac:dyDescent="0.25">
      <c r="A580" s="4"/>
      <c r="B580" s="5" t="s">
        <v>157</v>
      </c>
    </row>
    <row r="581" spans="1:2" x14ac:dyDescent="0.25">
      <c r="A581" s="4"/>
      <c r="B581" s="5" t="s">
        <v>158</v>
      </c>
    </row>
    <row r="582" spans="1:2" x14ac:dyDescent="0.25">
      <c r="A582" s="4"/>
      <c r="B582" s="5" t="s">
        <v>159</v>
      </c>
    </row>
    <row r="583" spans="1:2" x14ac:dyDescent="0.25">
      <c r="A583" s="4"/>
      <c r="B583" s="5" t="s">
        <v>220</v>
      </c>
    </row>
    <row r="584" spans="1:2" x14ac:dyDescent="0.25">
      <c r="A584" s="4"/>
      <c r="B584" s="5" t="s">
        <v>164</v>
      </c>
    </row>
    <row r="585" spans="1:2" x14ac:dyDescent="0.25">
      <c r="A585" s="4"/>
      <c r="B585" s="5" t="s">
        <v>415</v>
      </c>
    </row>
    <row r="586" spans="1:2" x14ac:dyDescent="0.25">
      <c r="A586" s="4"/>
      <c r="B586" s="5"/>
    </row>
    <row r="587" spans="1:2" x14ac:dyDescent="0.25">
      <c r="A587" s="4"/>
      <c r="B587" s="5"/>
    </row>
    <row r="588" spans="1:2" x14ac:dyDescent="0.25">
      <c r="A588" s="4"/>
      <c r="B588" s="5"/>
    </row>
    <row r="589" spans="1:2" ht="15.75" thickBot="1" x14ac:dyDescent="0.3">
      <c r="A589" s="4"/>
      <c r="B589" s="6"/>
    </row>
    <row r="590" spans="1:2" ht="15.75" thickBot="1" x14ac:dyDescent="0.3">
      <c r="A590" s="4"/>
      <c r="B590" s="4"/>
    </row>
    <row r="591" spans="1:2" ht="15.75" thickBot="1" x14ac:dyDescent="0.3">
      <c r="A591" s="4"/>
      <c r="B591" s="7" t="s">
        <v>204</v>
      </c>
    </row>
    <row r="592" spans="1:2" x14ac:dyDescent="0.25">
      <c r="A592" s="4"/>
      <c r="B592" s="5" t="s">
        <v>157</v>
      </c>
    </row>
    <row r="593" spans="1:2" x14ac:dyDescent="0.25">
      <c r="A593" s="4"/>
      <c r="B593" s="5" t="s">
        <v>158</v>
      </c>
    </row>
    <row r="594" spans="1:2" x14ac:dyDescent="0.25">
      <c r="A594" s="4"/>
      <c r="B594" s="5" t="s">
        <v>159</v>
      </c>
    </row>
    <row r="595" spans="1:2" x14ac:dyDescent="0.25">
      <c r="A595" s="4"/>
      <c r="B595" s="5" t="s">
        <v>220</v>
      </c>
    </row>
    <row r="596" spans="1:2" x14ac:dyDescent="0.25">
      <c r="A596" s="4"/>
      <c r="B596" s="5" t="s">
        <v>664</v>
      </c>
    </row>
    <row r="597" spans="1:2" x14ac:dyDescent="0.25">
      <c r="A597" s="4"/>
      <c r="B597" s="5" t="s">
        <v>164</v>
      </c>
    </row>
    <row r="598" spans="1:2" x14ac:dyDescent="0.25">
      <c r="A598" s="4"/>
      <c r="B598" s="5" t="s">
        <v>194</v>
      </c>
    </row>
    <row r="599" spans="1:2" x14ac:dyDescent="0.25">
      <c r="A599" s="4"/>
      <c r="B599" s="5" t="s">
        <v>155</v>
      </c>
    </row>
    <row r="600" spans="1:2" x14ac:dyDescent="0.25">
      <c r="A600" s="4"/>
      <c r="B600" s="5"/>
    </row>
    <row r="601" spans="1:2" ht="15.75" thickBot="1" x14ac:dyDescent="0.3">
      <c r="A601" s="4"/>
      <c r="B601" s="6"/>
    </row>
    <row r="602" spans="1:2" ht="15.75" thickBot="1" x14ac:dyDescent="0.3">
      <c r="A602" s="4"/>
      <c r="B602" s="4"/>
    </row>
    <row r="603" spans="1:2" ht="15.75" thickBot="1" x14ac:dyDescent="0.3">
      <c r="A603" s="4"/>
      <c r="B603" s="7" t="s">
        <v>205</v>
      </c>
    </row>
    <row r="604" spans="1:2" x14ac:dyDescent="0.25">
      <c r="A604" s="4"/>
      <c r="B604" s="5" t="s">
        <v>155</v>
      </c>
    </row>
    <row r="605" spans="1:2" x14ac:dyDescent="0.25">
      <c r="A605" s="4"/>
      <c r="B605" s="5" t="s">
        <v>220</v>
      </c>
    </row>
    <row r="606" spans="1:2" x14ac:dyDescent="0.25">
      <c r="A606" s="4"/>
      <c r="B606" s="5" t="s">
        <v>164</v>
      </c>
    </row>
    <row r="607" spans="1:2" x14ac:dyDescent="0.25">
      <c r="A607" s="4"/>
      <c r="B607" s="5"/>
    </row>
    <row r="608" spans="1:2" x14ac:dyDescent="0.25">
      <c r="A608" s="4"/>
      <c r="B608" s="5"/>
    </row>
    <row r="609" spans="1:2" x14ac:dyDescent="0.25">
      <c r="A609" s="4"/>
      <c r="B609" s="5"/>
    </row>
    <row r="610" spans="1:2" x14ac:dyDescent="0.25">
      <c r="A610" s="4"/>
      <c r="B610" s="5"/>
    </row>
    <row r="611" spans="1:2" x14ac:dyDescent="0.25">
      <c r="A611" s="4"/>
      <c r="B611" s="5"/>
    </row>
    <row r="612" spans="1:2" x14ac:dyDescent="0.25">
      <c r="A612" s="4"/>
      <c r="B612" s="5"/>
    </row>
    <row r="613" spans="1:2" ht="15.75" thickBot="1" x14ac:dyDescent="0.3">
      <c r="A613" s="4"/>
      <c r="B613" s="6"/>
    </row>
    <row r="614" spans="1:2" ht="15.75" thickBot="1" x14ac:dyDescent="0.3">
      <c r="A614" s="4"/>
      <c r="B614" s="4"/>
    </row>
    <row r="615" spans="1:2" ht="15.75" thickBot="1" x14ac:dyDescent="0.3">
      <c r="A615" s="4"/>
      <c r="B615" s="7" t="s">
        <v>206</v>
      </c>
    </row>
    <row r="616" spans="1:2" x14ac:dyDescent="0.25">
      <c r="A616" s="4"/>
      <c r="B616" s="5" t="s">
        <v>157</v>
      </c>
    </row>
    <row r="617" spans="1:2" x14ac:dyDescent="0.25">
      <c r="A617" s="4"/>
      <c r="B617" s="5" t="s">
        <v>158</v>
      </c>
    </row>
    <row r="618" spans="1:2" x14ac:dyDescent="0.25">
      <c r="A618" s="4"/>
      <c r="B618" s="5" t="s">
        <v>159</v>
      </c>
    </row>
    <row r="619" spans="1:2" x14ac:dyDescent="0.25">
      <c r="A619" s="4"/>
      <c r="B619" s="5" t="s">
        <v>220</v>
      </c>
    </row>
    <row r="620" spans="1:2" x14ac:dyDescent="0.25">
      <c r="A620" s="4"/>
      <c r="B620" s="5" t="s">
        <v>664</v>
      </c>
    </row>
    <row r="621" spans="1:2" x14ac:dyDescent="0.25">
      <c r="A621" s="4"/>
      <c r="B621" s="5" t="s">
        <v>164</v>
      </c>
    </row>
    <row r="622" spans="1:2" x14ac:dyDescent="0.25">
      <c r="A622" s="4"/>
      <c r="B622" s="5" t="s">
        <v>194</v>
      </c>
    </row>
    <row r="623" spans="1:2" x14ac:dyDescent="0.25">
      <c r="A623" s="4"/>
      <c r="B623" s="5" t="s">
        <v>155</v>
      </c>
    </row>
    <row r="624" spans="1:2" x14ac:dyDescent="0.25">
      <c r="A624" s="4"/>
      <c r="B624" s="5"/>
    </row>
    <row r="625" spans="1:2" ht="15.75" thickBot="1" x14ac:dyDescent="0.3">
      <c r="A625" s="4"/>
      <c r="B625" s="6"/>
    </row>
    <row r="626" spans="1:2" ht="15.75" thickBot="1" x14ac:dyDescent="0.3">
      <c r="A626" s="4"/>
      <c r="B626" s="4"/>
    </row>
    <row r="627" spans="1:2" ht="15.75" thickBot="1" x14ac:dyDescent="0.3">
      <c r="A627" s="4"/>
      <c r="B627" s="7" t="s">
        <v>207</v>
      </c>
    </row>
    <row r="628" spans="1:2" x14ac:dyDescent="0.25">
      <c r="A628" s="4"/>
      <c r="B628" s="5" t="s">
        <v>157</v>
      </c>
    </row>
    <row r="629" spans="1:2" x14ac:dyDescent="0.25">
      <c r="A629" s="4"/>
      <c r="B629" s="5" t="s">
        <v>158</v>
      </c>
    </row>
    <row r="630" spans="1:2" x14ac:dyDescent="0.25">
      <c r="A630" s="4"/>
      <c r="B630" s="5" t="s">
        <v>159</v>
      </c>
    </row>
    <row r="631" spans="1:2" x14ac:dyDescent="0.25">
      <c r="A631" s="4"/>
      <c r="B631" s="5" t="s">
        <v>220</v>
      </c>
    </row>
    <row r="632" spans="1:2" x14ac:dyDescent="0.25">
      <c r="A632" s="4"/>
      <c r="B632" s="5" t="s">
        <v>664</v>
      </c>
    </row>
    <row r="633" spans="1:2" x14ac:dyDescent="0.25">
      <c r="A633" s="4"/>
      <c r="B633" s="5" t="s">
        <v>164</v>
      </c>
    </row>
    <row r="634" spans="1:2" x14ac:dyDescent="0.25">
      <c r="A634" s="4"/>
      <c r="B634" s="5" t="s">
        <v>194</v>
      </c>
    </row>
    <row r="635" spans="1:2" x14ac:dyDescent="0.25">
      <c r="A635" s="4"/>
      <c r="B635" s="5" t="s">
        <v>155</v>
      </c>
    </row>
    <row r="636" spans="1:2" x14ac:dyDescent="0.25">
      <c r="A636" s="4"/>
      <c r="B636" s="5"/>
    </row>
    <row r="637" spans="1:2" ht="15.75" thickBot="1" x14ac:dyDescent="0.3">
      <c r="A637" s="4"/>
      <c r="B637" s="6"/>
    </row>
    <row r="638" spans="1:2" ht="15.75" thickBot="1" x14ac:dyDescent="0.3">
      <c r="A638" s="4"/>
      <c r="B638" s="4"/>
    </row>
    <row r="639" spans="1:2" ht="15.75" thickBot="1" x14ac:dyDescent="0.3">
      <c r="A639" s="4"/>
      <c r="B639" s="7" t="s">
        <v>208</v>
      </c>
    </row>
    <row r="640" spans="1:2" x14ac:dyDescent="0.25">
      <c r="A640" s="4"/>
      <c r="B640" s="5" t="s">
        <v>157</v>
      </c>
    </row>
    <row r="641" spans="1:2" x14ac:dyDescent="0.25">
      <c r="A641" s="4"/>
      <c r="B641" s="5" t="s">
        <v>158</v>
      </c>
    </row>
    <row r="642" spans="1:2" x14ac:dyDescent="0.25">
      <c r="A642" s="4"/>
      <c r="B642" s="5" t="s">
        <v>159</v>
      </c>
    </row>
    <row r="643" spans="1:2" x14ac:dyDescent="0.25">
      <c r="A643" s="4"/>
      <c r="B643" s="5" t="s">
        <v>220</v>
      </c>
    </row>
    <row r="644" spans="1:2" x14ac:dyDescent="0.25">
      <c r="A644" s="4"/>
      <c r="B644" s="5" t="s">
        <v>664</v>
      </c>
    </row>
    <row r="645" spans="1:2" x14ac:dyDescent="0.25">
      <c r="A645" s="4"/>
      <c r="B645" s="5" t="s">
        <v>164</v>
      </c>
    </row>
    <row r="646" spans="1:2" x14ac:dyDescent="0.25">
      <c r="A646" s="4"/>
      <c r="B646" s="5" t="s">
        <v>194</v>
      </c>
    </row>
    <row r="647" spans="1:2" x14ac:dyDescent="0.25">
      <c r="A647" s="4"/>
      <c r="B647" s="5" t="s">
        <v>155</v>
      </c>
    </row>
    <row r="648" spans="1:2" x14ac:dyDescent="0.25">
      <c r="A648" s="4"/>
      <c r="B648" s="5"/>
    </row>
    <row r="649" spans="1:2" ht="15.75" thickBot="1" x14ac:dyDescent="0.3">
      <c r="A649" s="4"/>
      <c r="B649" s="6"/>
    </row>
    <row r="650" spans="1:2" ht="15.75" thickBot="1" x14ac:dyDescent="0.3">
      <c r="A650" s="4"/>
      <c r="B650" s="4"/>
    </row>
    <row r="651" spans="1:2" ht="15.75" thickBot="1" x14ac:dyDescent="0.3">
      <c r="A651" s="4"/>
      <c r="B651" s="7" t="s">
        <v>209</v>
      </c>
    </row>
    <row r="652" spans="1:2" x14ac:dyDescent="0.25">
      <c r="A652" s="4"/>
      <c r="B652" s="5" t="s">
        <v>155</v>
      </c>
    </row>
    <row r="653" spans="1:2" x14ac:dyDescent="0.25">
      <c r="A653" s="4"/>
      <c r="B653" s="5" t="s">
        <v>220</v>
      </c>
    </row>
    <row r="654" spans="1:2" x14ac:dyDescent="0.25">
      <c r="A654" s="4"/>
      <c r="B654" s="5" t="s">
        <v>664</v>
      </c>
    </row>
    <row r="655" spans="1:2" x14ac:dyDescent="0.25">
      <c r="A655" s="4"/>
      <c r="B655" s="5" t="s">
        <v>164</v>
      </c>
    </row>
    <row r="656" spans="1:2" x14ac:dyDescent="0.25">
      <c r="A656" s="4"/>
      <c r="B656" s="5" t="s">
        <v>194</v>
      </c>
    </row>
    <row r="657" spans="1:2" x14ac:dyDescent="0.25">
      <c r="A657" s="4"/>
      <c r="B657" s="5"/>
    </row>
    <row r="658" spans="1:2" x14ac:dyDescent="0.25">
      <c r="A658" s="4"/>
      <c r="B658" s="5"/>
    </row>
    <row r="659" spans="1:2" x14ac:dyDescent="0.25">
      <c r="A659" s="4"/>
      <c r="B659" s="5"/>
    </row>
    <row r="660" spans="1:2" x14ac:dyDescent="0.25">
      <c r="A660" s="4"/>
      <c r="B660" s="5"/>
    </row>
    <row r="661" spans="1:2" ht="15.75" thickBot="1" x14ac:dyDescent="0.3">
      <c r="A661" s="4"/>
      <c r="B661" s="6"/>
    </row>
    <row r="662" spans="1:2" ht="15.75" thickBot="1" x14ac:dyDescent="0.3">
      <c r="A662" s="4"/>
      <c r="B662" s="4"/>
    </row>
    <row r="663" spans="1:2" ht="15.75" thickBot="1" x14ac:dyDescent="0.3">
      <c r="A663" s="4"/>
      <c r="B663" s="7" t="s">
        <v>210</v>
      </c>
    </row>
    <row r="664" spans="1:2" x14ac:dyDescent="0.25">
      <c r="A664" s="4"/>
      <c r="B664" s="5" t="s">
        <v>157</v>
      </c>
    </row>
    <row r="665" spans="1:2" x14ac:dyDescent="0.25">
      <c r="A665" s="4"/>
      <c r="B665" s="5" t="s">
        <v>158</v>
      </c>
    </row>
    <row r="666" spans="1:2" x14ac:dyDescent="0.25">
      <c r="A666" s="4"/>
      <c r="B666" s="5" t="s">
        <v>159</v>
      </c>
    </row>
    <row r="667" spans="1:2" x14ac:dyDescent="0.25">
      <c r="A667" s="4"/>
      <c r="B667" s="5" t="s">
        <v>220</v>
      </c>
    </row>
    <row r="668" spans="1:2" x14ac:dyDescent="0.25">
      <c r="A668" s="4"/>
      <c r="B668" s="5" t="s">
        <v>664</v>
      </c>
    </row>
    <row r="669" spans="1:2" x14ac:dyDescent="0.25">
      <c r="A669" s="4"/>
      <c r="B669" s="5" t="s">
        <v>164</v>
      </c>
    </row>
    <row r="670" spans="1:2" x14ac:dyDescent="0.25">
      <c r="A670" s="4"/>
      <c r="B670" s="5" t="s">
        <v>194</v>
      </c>
    </row>
    <row r="671" spans="1:2" x14ac:dyDescent="0.25">
      <c r="A671" s="4"/>
      <c r="B671" s="5" t="s">
        <v>155</v>
      </c>
    </row>
    <row r="672" spans="1:2" x14ac:dyDescent="0.25">
      <c r="A672" s="4"/>
      <c r="B672" s="5"/>
    </row>
    <row r="673" spans="1:2" ht="15.75" thickBot="1" x14ac:dyDescent="0.3">
      <c r="A673" s="4"/>
      <c r="B673" s="6"/>
    </row>
    <row r="674" spans="1:2" ht="15.75" thickBot="1" x14ac:dyDescent="0.3">
      <c r="A674" s="4"/>
      <c r="B674" s="4"/>
    </row>
    <row r="675" spans="1:2" ht="15.75" thickBot="1" x14ac:dyDescent="0.3">
      <c r="A675" s="4"/>
      <c r="B675" s="7" t="s">
        <v>211</v>
      </c>
    </row>
    <row r="676" spans="1:2" x14ac:dyDescent="0.25">
      <c r="A676" s="4"/>
      <c r="B676" s="5" t="s">
        <v>158</v>
      </c>
    </row>
    <row r="677" spans="1:2" x14ac:dyDescent="0.25">
      <c r="A677" s="4"/>
      <c r="B677" s="5" t="s">
        <v>159</v>
      </c>
    </row>
    <row r="678" spans="1:2" x14ac:dyDescent="0.25">
      <c r="A678" s="4"/>
      <c r="B678" s="5" t="s">
        <v>220</v>
      </c>
    </row>
    <row r="679" spans="1:2" x14ac:dyDescent="0.25">
      <c r="A679" s="4"/>
      <c r="B679" s="5" t="s">
        <v>164</v>
      </c>
    </row>
    <row r="680" spans="1:2" x14ac:dyDescent="0.25">
      <c r="A680" s="4"/>
      <c r="B680" s="5" t="s">
        <v>154</v>
      </c>
    </row>
    <row r="681" spans="1:2" x14ac:dyDescent="0.25">
      <c r="A681" s="4"/>
      <c r="B681" s="5" t="s">
        <v>416</v>
      </c>
    </row>
    <row r="682" spans="1:2" x14ac:dyDescent="0.25">
      <c r="A682" s="4"/>
      <c r="B682" s="5"/>
    </row>
    <row r="683" spans="1:2" x14ac:dyDescent="0.25">
      <c r="A683" s="4"/>
      <c r="B683" s="5"/>
    </row>
    <row r="684" spans="1:2" x14ac:dyDescent="0.25">
      <c r="A684" s="4"/>
      <c r="B684" s="5"/>
    </row>
    <row r="685" spans="1:2" ht="15.75" thickBot="1" x14ac:dyDescent="0.3">
      <c r="A685" s="4"/>
      <c r="B685" s="6"/>
    </row>
    <row r="686" spans="1:2" ht="15.75" thickBot="1" x14ac:dyDescent="0.3">
      <c r="A686" s="4"/>
      <c r="B686" s="4"/>
    </row>
    <row r="687" spans="1:2" ht="15.75" thickBot="1" x14ac:dyDescent="0.3">
      <c r="A687" s="4"/>
      <c r="B687" s="7" t="s">
        <v>212</v>
      </c>
    </row>
    <row r="688" spans="1:2" x14ac:dyDescent="0.25">
      <c r="A688" s="4"/>
      <c r="B688" s="5" t="s">
        <v>416</v>
      </c>
    </row>
    <row r="689" spans="1:2" x14ac:dyDescent="0.25">
      <c r="A689" s="4"/>
      <c r="B689" s="5" t="s">
        <v>220</v>
      </c>
    </row>
    <row r="690" spans="1:2" x14ac:dyDescent="0.25">
      <c r="A690" s="4"/>
      <c r="B690" s="5"/>
    </row>
    <row r="691" spans="1:2" x14ac:dyDescent="0.25">
      <c r="A691" s="4"/>
      <c r="B691" s="5"/>
    </row>
    <row r="692" spans="1:2" x14ac:dyDescent="0.25">
      <c r="A692" s="4"/>
      <c r="B692" s="5"/>
    </row>
    <row r="693" spans="1:2" x14ac:dyDescent="0.25">
      <c r="A693" s="4"/>
      <c r="B693" s="5"/>
    </row>
    <row r="694" spans="1:2" x14ac:dyDescent="0.25">
      <c r="A694" s="4"/>
      <c r="B694" s="5"/>
    </row>
    <row r="695" spans="1:2" x14ac:dyDescent="0.25">
      <c r="A695" s="4"/>
      <c r="B695" s="5"/>
    </row>
    <row r="696" spans="1:2" x14ac:dyDescent="0.25">
      <c r="A696" s="4"/>
      <c r="B696" s="5"/>
    </row>
    <row r="697" spans="1:2" ht="15.75" thickBot="1" x14ac:dyDescent="0.3">
      <c r="A697" s="4"/>
      <c r="B697" s="6"/>
    </row>
    <row r="698" spans="1:2" ht="15.75" thickBot="1" x14ac:dyDescent="0.3">
      <c r="A698" s="4"/>
      <c r="B698" s="4"/>
    </row>
    <row r="699" spans="1:2" ht="15.75" thickBot="1" x14ac:dyDescent="0.3">
      <c r="A699" s="4"/>
      <c r="B699" s="7" t="s">
        <v>680</v>
      </c>
    </row>
    <row r="700" spans="1:2" x14ac:dyDescent="0.25">
      <c r="A700" s="4"/>
      <c r="B700" s="5" t="s">
        <v>158</v>
      </c>
    </row>
    <row r="701" spans="1:2" x14ac:dyDescent="0.25">
      <c r="A701" s="4"/>
      <c r="B701" s="5" t="s">
        <v>159</v>
      </c>
    </row>
    <row r="702" spans="1:2" x14ac:dyDescent="0.25">
      <c r="A702" s="4"/>
      <c r="B702" s="5" t="s">
        <v>220</v>
      </c>
    </row>
    <row r="703" spans="1:2" x14ac:dyDescent="0.25">
      <c r="A703" s="4"/>
      <c r="B703" s="5" t="s">
        <v>164</v>
      </c>
    </row>
    <row r="704" spans="1:2" x14ac:dyDescent="0.25">
      <c r="A704" s="4"/>
      <c r="B704" s="5" t="s">
        <v>154</v>
      </c>
    </row>
    <row r="705" spans="1:2" x14ac:dyDescent="0.25">
      <c r="A705" s="4"/>
      <c r="B705" s="5" t="s">
        <v>416</v>
      </c>
    </row>
    <row r="706" spans="1:2" x14ac:dyDescent="0.25">
      <c r="A706" s="4"/>
      <c r="B706" s="5"/>
    </row>
    <row r="707" spans="1:2" x14ac:dyDescent="0.25">
      <c r="A707" s="4"/>
      <c r="B707" s="5"/>
    </row>
    <row r="708" spans="1:2" x14ac:dyDescent="0.25">
      <c r="A708" s="4"/>
      <c r="B708" s="5"/>
    </row>
    <row r="709" spans="1:2" ht="15.75" thickBot="1" x14ac:dyDescent="0.3">
      <c r="A709" s="4"/>
      <c r="B709" s="6"/>
    </row>
    <row r="710" spans="1:2" ht="15.75" thickBot="1" x14ac:dyDescent="0.3">
      <c r="A710" s="4"/>
      <c r="B710" s="4"/>
    </row>
    <row r="711" spans="1:2" ht="15.75" thickBot="1" x14ac:dyDescent="0.3">
      <c r="A711" s="4"/>
      <c r="B711" s="7" t="s">
        <v>213</v>
      </c>
    </row>
    <row r="712" spans="1:2" x14ac:dyDescent="0.25">
      <c r="A712" s="4"/>
      <c r="B712" s="5" t="s">
        <v>416</v>
      </c>
    </row>
    <row r="713" spans="1:2" x14ac:dyDescent="0.25">
      <c r="A713" s="4"/>
      <c r="B713" s="5" t="s">
        <v>158</v>
      </c>
    </row>
    <row r="714" spans="1:2" x14ac:dyDescent="0.25">
      <c r="A714" s="4"/>
      <c r="B714" s="5" t="s">
        <v>159</v>
      </c>
    </row>
    <row r="715" spans="1:2" x14ac:dyDescent="0.25">
      <c r="A715" s="4"/>
      <c r="B715" s="5" t="s">
        <v>220</v>
      </c>
    </row>
    <row r="716" spans="1:2" x14ac:dyDescent="0.25">
      <c r="A716" s="4"/>
      <c r="B716" s="5" t="s">
        <v>164</v>
      </c>
    </row>
    <row r="717" spans="1:2" x14ac:dyDescent="0.25">
      <c r="A717" s="4"/>
      <c r="B717" s="5" t="s">
        <v>154</v>
      </c>
    </row>
    <row r="718" spans="1:2" x14ac:dyDescent="0.25">
      <c r="A718" s="4"/>
      <c r="B718" s="5"/>
    </row>
    <row r="719" spans="1:2" x14ac:dyDescent="0.25">
      <c r="A719" s="4"/>
      <c r="B719" s="5"/>
    </row>
    <row r="720" spans="1:2" x14ac:dyDescent="0.25">
      <c r="A720" s="4"/>
      <c r="B720" s="5"/>
    </row>
    <row r="721" spans="1:2" ht="15.75" thickBot="1" x14ac:dyDescent="0.3">
      <c r="A721" s="4"/>
      <c r="B721" s="6"/>
    </row>
    <row r="722" spans="1:2" ht="15.75" thickBot="1" x14ac:dyDescent="0.3">
      <c r="A722" s="4"/>
      <c r="B722" s="4"/>
    </row>
    <row r="723" spans="1:2" ht="15.75" thickBot="1" x14ac:dyDescent="0.3">
      <c r="A723" s="4"/>
      <c r="B723" s="7" t="s">
        <v>665</v>
      </c>
    </row>
    <row r="724" spans="1:2" x14ac:dyDescent="0.25">
      <c r="A724" s="4"/>
      <c r="B724" s="5" t="s">
        <v>158</v>
      </c>
    </row>
    <row r="725" spans="1:2" x14ac:dyDescent="0.25">
      <c r="A725" s="4"/>
      <c r="B725" s="5" t="s">
        <v>159</v>
      </c>
    </row>
    <row r="726" spans="1:2" x14ac:dyDescent="0.25">
      <c r="A726" s="4"/>
      <c r="B726" s="5" t="s">
        <v>220</v>
      </c>
    </row>
    <row r="727" spans="1:2" x14ac:dyDescent="0.25">
      <c r="A727" s="4"/>
      <c r="B727" s="5" t="s">
        <v>164</v>
      </c>
    </row>
    <row r="728" spans="1:2" x14ac:dyDescent="0.25">
      <c r="A728" s="4"/>
      <c r="B728" s="5" t="s">
        <v>154</v>
      </c>
    </row>
    <row r="729" spans="1:2" x14ac:dyDescent="0.25">
      <c r="A729" s="4"/>
      <c r="B729" s="5" t="s">
        <v>416</v>
      </c>
    </row>
    <row r="730" spans="1:2" x14ac:dyDescent="0.25">
      <c r="A730" s="4"/>
      <c r="B730" s="5"/>
    </row>
    <row r="731" spans="1:2" x14ac:dyDescent="0.25">
      <c r="A731" s="4"/>
      <c r="B731" s="5"/>
    </row>
    <row r="732" spans="1:2" x14ac:dyDescent="0.25">
      <c r="A732" s="4"/>
      <c r="B732" s="5"/>
    </row>
    <row r="733" spans="1:2" ht="15.75" thickBot="1" x14ac:dyDescent="0.3">
      <c r="A733" s="4"/>
      <c r="B733" s="6"/>
    </row>
    <row r="734" spans="1:2" ht="15.75" thickBot="1" x14ac:dyDescent="0.3">
      <c r="A734" s="4"/>
      <c r="B734" s="4"/>
    </row>
    <row r="735" spans="1:2" ht="15.75" thickBot="1" x14ac:dyDescent="0.3">
      <c r="A735" s="4"/>
      <c r="B735" s="7" t="s">
        <v>214</v>
      </c>
    </row>
    <row r="736" spans="1:2" x14ac:dyDescent="0.25">
      <c r="A736" s="4"/>
      <c r="B736" s="5" t="s">
        <v>416</v>
      </c>
    </row>
    <row r="737" spans="1:2" x14ac:dyDescent="0.25">
      <c r="A737" s="4"/>
      <c r="B737" s="5" t="s">
        <v>220</v>
      </c>
    </row>
    <row r="738" spans="1:2" x14ac:dyDescent="0.25">
      <c r="A738" s="4"/>
      <c r="B738" s="5" t="s">
        <v>164</v>
      </c>
    </row>
    <row r="739" spans="1:2" x14ac:dyDescent="0.25">
      <c r="A739" s="4"/>
      <c r="B739" s="5" t="s">
        <v>154</v>
      </c>
    </row>
    <row r="740" spans="1:2" x14ac:dyDescent="0.25">
      <c r="A740" s="4"/>
      <c r="B740" s="5"/>
    </row>
    <row r="741" spans="1:2" x14ac:dyDescent="0.25">
      <c r="A741" s="4"/>
      <c r="B741" s="5"/>
    </row>
    <row r="742" spans="1:2" x14ac:dyDescent="0.25">
      <c r="A742" s="4"/>
      <c r="B742" s="5"/>
    </row>
    <row r="743" spans="1:2" x14ac:dyDescent="0.25">
      <c r="A743" s="4"/>
      <c r="B743" s="5"/>
    </row>
    <row r="744" spans="1:2" x14ac:dyDescent="0.25">
      <c r="A744" s="4"/>
      <c r="B744" s="5"/>
    </row>
    <row r="745" spans="1:2" ht="15.75" thickBot="1" x14ac:dyDescent="0.3">
      <c r="A745" s="4"/>
      <c r="B745" s="6"/>
    </row>
    <row r="746" spans="1:2" ht="15.75" thickBot="1" x14ac:dyDescent="0.3">
      <c r="A746" s="4"/>
      <c r="B746" s="4"/>
    </row>
    <row r="747" spans="1:2" ht="15.75" thickBot="1" x14ac:dyDescent="0.3">
      <c r="A747" s="4"/>
      <c r="B747" s="7" t="s">
        <v>215</v>
      </c>
    </row>
    <row r="748" spans="1:2" x14ac:dyDescent="0.25">
      <c r="A748" s="4"/>
      <c r="B748" s="5" t="s">
        <v>158</v>
      </c>
    </row>
    <row r="749" spans="1:2" x14ac:dyDescent="0.25">
      <c r="A749" s="4"/>
      <c r="B749" s="5" t="s">
        <v>159</v>
      </c>
    </row>
    <row r="750" spans="1:2" x14ac:dyDescent="0.25">
      <c r="A750" s="4"/>
      <c r="B750" s="5" t="s">
        <v>220</v>
      </c>
    </row>
    <row r="751" spans="1:2" x14ac:dyDescent="0.25">
      <c r="A751" s="4"/>
      <c r="B751" s="5" t="s">
        <v>164</v>
      </c>
    </row>
    <row r="752" spans="1:2" x14ac:dyDescent="0.25">
      <c r="A752" s="4"/>
      <c r="B752" s="5" t="s">
        <v>154</v>
      </c>
    </row>
    <row r="753" spans="1:2" x14ac:dyDescent="0.25">
      <c r="A753" s="4"/>
      <c r="B753" s="5" t="s">
        <v>416</v>
      </c>
    </row>
    <row r="754" spans="1:2" x14ac:dyDescent="0.25">
      <c r="A754" s="4"/>
      <c r="B754" s="5"/>
    </row>
    <row r="755" spans="1:2" x14ac:dyDescent="0.25">
      <c r="A755" s="4"/>
      <c r="B755" s="5"/>
    </row>
    <row r="756" spans="1:2" x14ac:dyDescent="0.25">
      <c r="A756" s="4"/>
      <c r="B756" s="5"/>
    </row>
    <row r="757" spans="1:2" ht="15.75" thickBot="1" x14ac:dyDescent="0.3">
      <c r="A757" s="4"/>
      <c r="B757" s="6"/>
    </row>
    <row r="758" spans="1:2" ht="15.75" thickBot="1" x14ac:dyDescent="0.3">
      <c r="A758" s="4"/>
      <c r="B758" s="4"/>
    </row>
    <row r="759" spans="1:2" ht="15.75" thickBot="1" x14ac:dyDescent="0.3">
      <c r="A759" s="4"/>
      <c r="B759" s="7" t="s">
        <v>660</v>
      </c>
    </row>
    <row r="760" spans="1:2" x14ac:dyDescent="0.25">
      <c r="A760" s="4"/>
      <c r="B760" s="5" t="s">
        <v>158</v>
      </c>
    </row>
    <row r="761" spans="1:2" x14ac:dyDescent="0.25">
      <c r="A761" s="4"/>
      <c r="B761" s="5" t="s">
        <v>159</v>
      </c>
    </row>
    <row r="762" spans="1:2" x14ac:dyDescent="0.25">
      <c r="A762" s="4"/>
      <c r="B762" s="5" t="s">
        <v>220</v>
      </c>
    </row>
    <row r="763" spans="1:2" x14ac:dyDescent="0.25">
      <c r="A763" s="4"/>
      <c r="B763" s="5" t="s">
        <v>664</v>
      </c>
    </row>
    <row r="764" spans="1:2" x14ac:dyDescent="0.25">
      <c r="A764" s="4"/>
      <c r="B764" s="5" t="s">
        <v>154</v>
      </c>
    </row>
    <row r="765" spans="1:2" x14ac:dyDescent="0.25">
      <c r="A765" s="4"/>
      <c r="B765" s="5" t="s">
        <v>194</v>
      </c>
    </row>
    <row r="766" spans="1:2" x14ac:dyDescent="0.25">
      <c r="A766" s="4"/>
      <c r="B766" s="5" t="s">
        <v>417</v>
      </c>
    </row>
    <row r="767" spans="1:2" x14ac:dyDescent="0.25">
      <c r="A767" s="4"/>
      <c r="B767" s="5"/>
    </row>
    <row r="768" spans="1:2" x14ac:dyDescent="0.25">
      <c r="A768" s="4"/>
      <c r="B768" s="5"/>
    </row>
    <row r="769" spans="1:2" ht="15.75" thickBot="1" x14ac:dyDescent="0.3">
      <c r="A769" s="4"/>
      <c r="B769" s="6"/>
    </row>
    <row r="770" spans="1:2" ht="15.75" thickBot="1" x14ac:dyDescent="0.3">
      <c r="A770" s="4"/>
      <c r="B770" s="4"/>
    </row>
    <row r="771" spans="1:2" ht="15.75" thickBot="1" x14ac:dyDescent="0.3">
      <c r="A771" s="4"/>
      <c r="B771" s="7" t="s">
        <v>219</v>
      </c>
    </row>
    <row r="772" spans="1:2" x14ac:dyDescent="0.25">
      <c r="A772" s="4"/>
      <c r="B772" s="5" t="s">
        <v>158</v>
      </c>
    </row>
    <row r="773" spans="1:2" x14ac:dyDescent="0.25">
      <c r="A773" s="4"/>
      <c r="B773" s="5" t="s">
        <v>159</v>
      </c>
    </row>
    <row r="774" spans="1:2" x14ac:dyDescent="0.25">
      <c r="A774" s="4"/>
      <c r="B774" s="5" t="s">
        <v>220</v>
      </c>
    </row>
    <row r="775" spans="1:2" x14ac:dyDescent="0.25">
      <c r="A775" s="4"/>
      <c r="B775" s="5" t="s">
        <v>163</v>
      </c>
    </row>
    <row r="776" spans="1:2" x14ac:dyDescent="0.25">
      <c r="A776" s="4"/>
      <c r="B776" s="5" t="s">
        <v>220</v>
      </c>
    </row>
    <row r="777" spans="1:2" x14ac:dyDescent="0.25">
      <c r="A777" s="4"/>
      <c r="B777" s="5"/>
    </row>
    <row r="778" spans="1:2" x14ac:dyDescent="0.25">
      <c r="A778" s="4"/>
      <c r="B778" s="5"/>
    </row>
    <row r="779" spans="1:2" x14ac:dyDescent="0.25">
      <c r="A779" s="4"/>
      <c r="B779" s="5"/>
    </row>
    <row r="780" spans="1:2" x14ac:dyDescent="0.25">
      <c r="A780" s="4"/>
      <c r="B780" s="5"/>
    </row>
    <row r="781" spans="1:2" ht="15.75" thickBot="1" x14ac:dyDescent="0.3">
      <c r="A781" s="4"/>
      <c r="B781" s="6"/>
    </row>
    <row r="782" spans="1:2" ht="15.75" thickBot="1" x14ac:dyDescent="0.3">
      <c r="A782" s="4"/>
      <c r="B782" s="4"/>
    </row>
    <row r="783" spans="1:2" ht="15.75" thickBot="1" x14ac:dyDescent="0.3">
      <c r="A783" s="4"/>
      <c r="B783" s="7" t="s">
        <v>221</v>
      </c>
    </row>
    <row r="784" spans="1:2" x14ac:dyDescent="0.25">
      <c r="A784" s="4"/>
      <c r="B784" s="5" t="s">
        <v>163</v>
      </c>
    </row>
    <row r="785" spans="1:2" x14ac:dyDescent="0.25">
      <c r="A785" s="4"/>
      <c r="B785" s="5" t="s">
        <v>220</v>
      </c>
    </row>
    <row r="786" spans="1:2" x14ac:dyDescent="0.25">
      <c r="A786" s="4"/>
      <c r="B786" s="5"/>
    </row>
    <row r="787" spans="1:2" x14ac:dyDescent="0.25">
      <c r="A787" s="4"/>
      <c r="B787" s="5"/>
    </row>
    <row r="788" spans="1:2" x14ac:dyDescent="0.25">
      <c r="A788" s="4"/>
      <c r="B788" s="5"/>
    </row>
    <row r="789" spans="1:2" x14ac:dyDescent="0.25">
      <c r="A789" s="4"/>
      <c r="B789" s="5"/>
    </row>
    <row r="790" spans="1:2" x14ac:dyDescent="0.25">
      <c r="A790" s="4"/>
      <c r="B790" s="5"/>
    </row>
    <row r="791" spans="1:2" x14ac:dyDescent="0.25">
      <c r="A791" s="4"/>
      <c r="B791" s="5"/>
    </row>
    <row r="792" spans="1:2" x14ac:dyDescent="0.25">
      <c r="A792" s="4"/>
      <c r="B792" s="5"/>
    </row>
    <row r="793" spans="1:2" ht="15.75" thickBot="1" x14ac:dyDescent="0.3">
      <c r="A793" s="4"/>
      <c r="B793" s="6"/>
    </row>
    <row r="794" spans="1:2" ht="15.75" thickBot="1" x14ac:dyDescent="0.3">
      <c r="A794" s="4"/>
      <c r="B794" s="4"/>
    </row>
    <row r="795" spans="1:2" ht="15.75" thickBot="1" x14ac:dyDescent="0.3">
      <c r="A795" s="4"/>
      <c r="B795" s="7" t="s">
        <v>222</v>
      </c>
    </row>
    <row r="796" spans="1:2" x14ac:dyDescent="0.25">
      <c r="A796" s="4"/>
      <c r="B796" s="5" t="s">
        <v>158</v>
      </c>
    </row>
    <row r="797" spans="1:2" x14ac:dyDescent="0.25">
      <c r="A797" s="4"/>
      <c r="B797" s="5" t="s">
        <v>159</v>
      </c>
    </row>
    <row r="798" spans="1:2" x14ac:dyDescent="0.25">
      <c r="A798" s="4"/>
      <c r="B798" s="5" t="s">
        <v>220</v>
      </c>
    </row>
    <row r="799" spans="1:2" x14ac:dyDescent="0.25">
      <c r="A799" s="4"/>
      <c r="B799" s="5" t="s">
        <v>164</v>
      </c>
    </row>
    <row r="800" spans="1:2" x14ac:dyDescent="0.25">
      <c r="A800" s="4"/>
      <c r="B800" s="5" t="s">
        <v>418</v>
      </c>
    </row>
    <row r="801" spans="1:2" x14ac:dyDescent="0.25">
      <c r="A801" s="4"/>
      <c r="B801" s="5"/>
    </row>
    <row r="802" spans="1:2" x14ac:dyDescent="0.25">
      <c r="A802" s="4"/>
      <c r="B802" s="5"/>
    </row>
    <row r="803" spans="1:2" x14ac:dyDescent="0.25">
      <c r="A803" s="4"/>
      <c r="B803" s="5"/>
    </row>
    <row r="804" spans="1:2" x14ac:dyDescent="0.25">
      <c r="A804" s="4"/>
      <c r="B804" s="5"/>
    </row>
    <row r="805" spans="1:2" ht="15.75" thickBot="1" x14ac:dyDescent="0.3">
      <c r="A805" s="4"/>
      <c r="B805" s="6"/>
    </row>
    <row r="806" spans="1:2" ht="15.75" thickBot="1" x14ac:dyDescent="0.3">
      <c r="A806" s="4"/>
      <c r="B806" s="4"/>
    </row>
    <row r="807" spans="1:2" ht="15.75" thickBot="1" x14ac:dyDescent="0.3">
      <c r="A807" s="4"/>
      <c r="B807" s="7" t="s">
        <v>223</v>
      </c>
    </row>
    <row r="808" spans="1:2" x14ac:dyDescent="0.25">
      <c r="A808" s="4"/>
      <c r="B808" s="5" t="s">
        <v>418</v>
      </c>
    </row>
    <row r="809" spans="1:2" x14ac:dyDescent="0.25">
      <c r="A809" s="4"/>
      <c r="B809" s="5" t="s">
        <v>220</v>
      </c>
    </row>
    <row r="810" spans="1:2" x14ac:dyDescent="0.25">
      <c r="A810" s="4"/>
      <c r="B810" s="5"/>
    </row>
    <row r="811" spans="1:2" x14ac:dyDescent="0.25">
      <c r="A811" s="4"/>
      <c r="B811" s="5"/>
    </row>
    <row r="812" spans="1:2" x14ac:dyDescent="0.25">
      <c r="A812" s="4"/>
      <c r="B812" s="5"/>
    </row>
    <row r="813" spans="1:2" x14ac:dyDescent="0.25">
      <c r="A813" s="4"/>
      <c r="B813" s="5"/>
    </row>
    <row r="814" spans="1:2" x14ac:dyDescent="0.25">
      <c r="A814" s="4"/>
      <c r="B814" s="5"/>
    </row>
    <row r="815" spans="1:2" x14ac:dyDescent="0.25">
      <c r="A815" s="4"/>
      <c r="B815" s="5"/>
    </row>
    <row r="816" spans="1:2" x14ac:dyDescent="0.25">
      <c r="A816" s="4"/>
      <c r="B816" s="5"/>
    </row>
    <row r="817" spans="1:2" ht="15.75" thickBot="1" x14ac:dyDescent="0.3">
      <c r="A817" s="4"/>
      <c r="B817" s="6"/>
    </row>
    <row r="818" spans="1:2" ht="15.75" thickBot="1" x14ac:dyDescent="0.3">
      <c r="A818" s="4"/>
      <c r="B818" s="4"/>
    </row>
    <row r="819" spans="1:2" ht="15.75" thickBot="1" x14ac:dyDescent="0.3">
      <c r="A819" s="4"/>
      <c r="B819" s="7" t="s">
        <v>224</v>
      </c>
    </row>
    <row r="820" spans="1:2" x14ac:dyDescent="0.25">
      <c r="A820" s="4"/>
      <c r="B820" s="5" t="s">
        <v>158</v>
      </c>
    </row>
    <row r="821" spans="1:2" x14ac:dyDescent="0.25">
      <c r="A821" s="4"/>
      <c r="B821" s="5" t="s">
        <v>159</v>
      </c>
    </row>
    <row r="822" spans="1:2" x14ac:dyDescent="0.25">
      <c r="A822" s="4"/>
      <c r="B822" s="5" t="s">
        <v>220</v>
      </c>
    </row>
    <row r="823" spans="1:2" x14ac:dyDescent="0.25">
      <c r="A823" s="4"/>
      <c r="B823" s="5" t="s">
        <v>164</v>
      </c>
    </row>
    <row r="824" spans="1:2" x14ac:dyDescent="0.25">
      <c r="A824" s="4"/>
      <c r="B824" s="5" t="s">
        <v>418</v>
      </c>
    </row>
    <row r="825" spans="1:2" x14ac:dyDescent="0.25">
      <c r="A825" s="4"/>
      <c r="B825" s="5"/>
    </row>
    <row r="826" spans="1:2" x14ac:dyDescent="0.25">
      <c r="A826" s="4"/>
      <c r="B826" s="5"/>
    </row>
    <row r="827" spans="1:2" x14ac:dyDescent="0.25">
      <c r="A827" s="4"/>
      <c r="B827" s="5"/>
    </row>
    <row r="828" spans="1:2" x14ac:dyDescent="0.25">
      <c r="A828" s="4"/>
      <c r="B828" s="5"/>
    </row>
    <row r="829" spans="1:2" ht="15.75" thickBot="1" x14ac:dyDescent="0.3">
      <c r="A829" s="4"/>
      <c r="B829" s="6"/>
    </row>
    <row r="830" spans="1:2" ht="15.75" thickBot="1" x14ac:dyDescent="0.3">
      <c r="A830" s="4"/>
      <c r="B830" s="4"/>
    </row>
    <row r="831" spans="1:2" ht="15.75" thickBot="1" x14ac:dyDescent="0.3">
      <c r="A831" s="4"/>
      <c r="B831" s="7" t="s">
        <v>688</v>
      </c>
    </row>
    <row r="832" spans="1:2" x14ac:dyDescent="0.25">
      <c r="A832" s="4"/>
      <c r="B832" s="5" t="s">
        <v>418</v>
      </c>
    </row>
    <row r="833" spans="1:2" x14ac:dyDescent="0.25">
      <c r="A833" s="4"/>
      <c r="B833" s="5" t="s">
        <v>158</v>
      </c>
    </row>
    <row r="834" spans="1:2" x14ac:dyDescent="0.25">
      <c r="A834" s="4"/>
      <c r="B834" s="5" t="s">
        <v>159</v>
      </c>
    </row>
    <row r="835" spans="1:2" x14ac:dyDescent="0.25">
      <c r="A835" s="4"/>
      <c r="B835" s="5" t="s">
        <v>220</v>
      </c>
    </row>
    <row r="836" spans="1:2" x14ac:dyDescent="0.25">
      <c r="A836" s="4"/>
      <c r="B836" s="5" t="s">
        <v>164</v>
      </c>
    </row>
    <row r="837" spans="1:2" x14ac:dyDescent="0.25">
      <c r="A837" s="4"/>
      <c r="B837" s="5"/>
    </row>
    <row r="838" spans="1:2" x14ac:dyDescent="0.25">
      <c r="A838" s="4"/>
      <c r="B838" s="5"/>
    </row>
    <row r="839" spans="1:2" x14ac:dyDescent="0.25">
      <c r="A839" s="4"/>
      <c r="B839" s="5"/>
    </row>
    <row r="840" spans="1:2" x14ac:dyDescent="0.25">
      <c r="A840" s="4"/>
      <c r="B840" s="5"/>
    </row>
    <row r="841" spans="1:2" ht="15.75" thickBot="1" x14ac:dyDescent="0.3">
      <c r="A841" s="4"/>
      <c r="B841" s="6"/>
    </row>
    <row r="842" spans="1:2" ht="15.75" thickBot="1" x14ac:dyDescent="0.3">
      <c r="A842" s="4"/>
      <c r="B842" s="4"/>
    </row>
    <row r="843" spans="1:2" ht="15.75" thickBot="1" x14ac:dyDescent="0.3">
      <c r="A843" s="4"/>
      <c r="B843" s="7" t="s">
        <v>225</v>
      </c>
    </row>
    <row r="844" spans="1:2" x14ac:dyDescent="0.25">
      <c r="A844" s="4"/>
      <c r="B844" s="5" t="s">
        <v>158</v>
      </c>
    </row>
    <row r="845" spans="1:2" x14ac:dyDescent="0.25">
      <c r="A845" s="4"/>
      <c r="B845" s="5" t="s">
        <v>159</v>
      </c>
    </row>
    <row r="846" spans="1:2" x14ac:dyDescent="0.25">
      <c r="A846" s="4"/>
      <c r="B846" s="5" t="s">
        <v>220</v>
      </c>
    </row>
    <row r="847" spans="1:2" x14ac:dyDescent="0.25">
      <c r="A847" s="4"/>
      <c r="B847" s="5" t="s">
        <v>164</v>
      </c>
    </row>
    <row r="848" spans="1:2" x14ac:dyDescent="0.25">
      <c r="A848" s="4"/>
      <c r="B848" s="5" t="s">
        <v>418</v>
      </c>
    </row>
    <row r="849" spans="1:2" x14ac:dyDescent="0.25">
      <c r="A849" s="4"/>
      <c r="B849" s="5"/>
    </row>
    <row r="850" spans="1:2" x14ac:dyDescent="0.25">
      <c r="A850" s="4"/>
      <c r="B850" s="5"/>
    </row>
    <row r="851" spans="1:2" x14ac:dyDescent="0.25">
      <c r="A851" s="4"/>
      <c r="B851" s="5"/>
    </row>
    <row r="852" spans="1:2" x14ac:dyDescent="0.25">
      <c r="A852" s="4"/>
      <c r="B852" s="5"/>
    </row>
    <row r="853" spans="1:2" ht="15.75" thickBot="1" x14ac:dyDescent="0.3">
      <c r="A853" s="4"/>
      <c r="B853" s="6"/>
    </row>
    <row r="854" spans="1:2" ht="15.75" thickBot="1" x14ac:dyDescent="0.3">
      <c r="A854" s="4"/>
      <c r="B854" s="4"/>
    </row>
    <row r="855" spans="1:2" ht="15.75" thickBot="1" x14ac:dyDescent="0.3">
      <c r="A855" s="4"/>
      <c r="B855" s="7" t="s">
        <v>226</v>
      </c>
    </row>
    <row r="856" spans="1:2" x14ac:dyDescent="0.25">
      <c r="A856" s="4"/>
      <c r="B856" s="5" t="s">
        <v>418</v>
      </c>
    </row>
    <row r="857" spans="1:2" x14ac:dyDescent="0.25">
      <c r="A857" s="4"/>
      <c r="B857" s="5" t="s">
        <v>220</v>
      </c>
    </row>
    <row r="858" spans="1:2" x14ac:dyDescent="0.25">
      <c r="A858" s="4"/>
      <c r="B858" s="5" t="s">
        <v>164</v>
      </c>
    </row>
    <row r="859" spans="1:2" x14ac:dyDescent="0.25">
      <c r="A859" s="4"/>
      <c r="B859" s="5"/>
    </row>
    <row r="860" spans="1:2" x14ac:dyDescent="0.25">
      <c r="A860" s="4"/>
      <c r="B860" s="5"/>
    </row>
    <row r="861" spans="1:2" x14ac:dyDescent="0.25">
      <c r="A861" s="4"/>
      <c r="B861" s="5"/>
    </row>
    <row r="862" spans="1:2" x14ac:dyDescent="0.25">
      <c r="A862" s="4"/>
      <c r="B862" s="5"/>
    </row>
    <row r="863" spans="1:2" x14ac:dyDescent="0.25">
      <c r="A863" s="4"/>
      <c r="B863" s="5"/>
    </row>
    <row r="864" spans="1:2" x14ac:dyDescent="0.25">
      <c r="A864" s="4"/>
      <c r="B864" s="5"/>
    </row>
    <row r="865" spans="1:2" ht="15.75" thickBot="1" x14ac:dyDescent="0.3">
      <c r="A865" s="4"/>
      <c r="B865" s="6"/>
    </row>
    <row r="866" spans="1:2" ht="15.75" thickBot="1" x14ac:dyDescent="0.3">
      <c r="A866" s="4"/>
      <c r="B866" s="4"/>
    </row>
    <row r="867" spans="1:2" ht="15.75" thickBot="1" x14ac:dyDescent="0.3">
      <c r="A867" s="4"/>
      <c r="B867" s="7" t="s">
        <v>227</v>
      </c>
    </row>
    <row r="868" spans="1:2" x14ac:dyDescent="0.25">
      <c r="A868" s="4"/>
      <c r="B868" s="5" t="s">
        <v>158</v>
      </c>
    </row>
    <row r="869" spans="1:2" x14ac:dyDescent="0.25">
      <c r="A869" s="4"/>
      <c r="B869" s="5" t="s">
        <v>159</v>
      </c>
    </row>
    <row r="870" spans="1:2" x14ac:dyDescent="0.25">
      <c r="A870" s="4"/>
      <c r="B870" s="5" t="s">
        <v>220</v>
      </c>
    </row>
    <row r="871" spans="1:2" x14ac:dyDescent="0.25">
      <c r="A871" s="4"/>
      <c r="B871" s="5" t="s">
        <v>164</v>
      </c>
    </row>
    <row r="872" spans="1:2" x14ac:dyDescent="0.25">
      <c r="A872" s="4"/>
      <c r="B872" s="5" t="s">
        <v>418</v>
      </c>
    </row>
    <row r="873" spans="1:2" x14ac:dyDescent="0.25">
      <c r="A873" s="4"/>
      <c r="B873" s="5"/>
    </row>
    <row r="874" spans="1:2" x14ac:dyDescent="0.25">
      <c r="A874" s="4"/>
      <c r="B874" s="5"/>
    </row>
    <row r="875" spans="1:2" x14ac:dyDescent="0.25">
      <c r="A875" s="4"/>
      <c r="B875" s="5"/>
    </row>
    <row r="876" spans="1:2" x14ac:dyDescent="0.25">
      <c r="A876" s="4"/>
      <c r="B876" s="5"/>
    </row>
    <row r="877" spans="1:2" ht="15.75" thickBot="1" x14ac:dyDescent="0.3">
      <c r="A877" s="4"/>
      <c r="B877" s="6"/>
    </row>
    <row r="878" spans="1:2" ht="15.75" thickBot="1" x14ac:dyDescent="0.3">
      <c r="A878" s="4"/>
      <c r="B878" s="4"/>
    </row>
    <row r="879" spans="1:2" ht="15.75" thickBot="1" x14ac:dyDescent="0.3">
      <c r="A879" s="4"/>
      <c r="B879" s="7" t="s">
        <v>228</v>
      </c>
    </row>
    <row r="880" spans="1:2" x14ac:dyDescent="0.25">
      <c r="A880" s="4"/>
      <c r="B880" s="5" t="s">
        <v>419</v>
      </c>
    </row>
    <row r="881" spans="1:2" x14ac:dyDescent="0.25">
      <c r="A881" s="4"/>
      <c r="B881" s="5" t="s">
        <v>158</v>
      </c>
    </row>
    <row r="882" spans="1:2" x14ac:dyDescent="0.25">
      <c r="A882" s="4"/>
      <c r="B882" s="5" t="s">
        <v>159</v>
      </c>
    </row>
    <row r="883" spans="1:2" x14ac:dyDescent="0.25">
      <c r="A883" s="4"/>
      <c r="B883" s="5" t="s">
        <v>220</v>
      </c>
    </row>
    <row r="884" spans="1:2" x14ac:dyDescent="0.25">
      <c r="A884" s="4"/>
      <c r="B884" s="5"/>
    </row>
    <row r="885" spans="1:2" x14ac:dyDescent="0.25">
      <c r="A885" s="4"/>
      <c r="B885" s="5"/>
    </row>
    <row r="886" spans="1:2" x14ac:dyDescent="0.25">
      <c r="A886" s="4"/>
      <c r="B886" s="5"/>
    </row>
    <row r="887" spans="1:2" x14ac:dyDescent="0.25">
      <c r="A887" s="4"/>
      <c r="B887" s="5"/>
    </row>
    <row r="888" spans="1:2" x14ac:dyDescent="0.25">
      <c r="A888" s="4"/>
      <c r="B888" s="5"/>
    </row>
    <row r="889" spans="1:2" ht="15.75" thickBot="1" x14ac:dyDescent="0.3">
      <c r="A889" s="4"/>
      <c r="B889" s="6"/>
    </row>
    <row r="890" spans="1:2" ht="15.75" thickBot="1" x14ac:dyDescent="0.3">
      <c r="A890" s="4"/>
      <c r="B890" s="4"/>
    </row>
    <row r="891" spans="1:2" ht="15.75" thickBot="1" x14ac:dyDescent="0.3">
      <c r="A891" s="4"/>
      <c r="B891" s="7" t="s">
        <v>229</v>
      </c>
    </row>
    <row r="892" spans="1:2" x14ac:dyDescent="0.25">
      <c r="A892" s="4"/>
      <c r="B892" s="5" t="s">
        <v>220</v>
      </c>
    </row>
    <row r="893" spans="1:2" x14ac:dyDescent="0.25">
      <c r="A893" s="4"/>
      <c r="B893" s="5" t="s">
        <v>419</v>
      </c>
    </row>
    <row r="894" spans="1:2" x14ac:dyDescent="0.25">
      <c r="A894" s="4"/>
      <c r="B894" s="5"/>
    </row>
    <row r="895" spans="1:2" x14ac:dyDescent="0.25">
      <c r="A895" s="4"/>
      <c r="B895" s="5"/>
    </row>
    <row r="896" spans="1:2" x14ac:dyDescent="0.25">
      <c r="A896" s="4"/>
      <c r="B896" s="5"/>
    </row>
    <row r="897" spans="1:2" x14ac:dyDescent="0.25">
      <c r="A897" s="4"/>
      <c r="B897" s="5"/>
    </row>
    <row r="898" spans="1:2" x14ac:dyDescent="0.25">
      <c r="A898" s="4"/>
      <c r="B898" s="5"/>
    </row>
    <row r="899" spans="1:2" x14ac:dyDescent="0.25">
      <c r="A899" s="4"/>
      <c r="B899" s="5"/>
    </row>
    <row r="900" spans="1:2" x14ac:dyDescent="0.25">
      <c r="A900" s="4"/>
      <c r="B900" s="5"/>
    </row>
    <row r="901" spans="1:2" ht="15.75" thickBot="1" x14ac:dyDescent="0.3">
      <c r="A901" s="4"/>
      <c r="B901" s="6"/>
    </row>
    <row r="902" spans="1:2" ht="15.75" thickBot="1" x14ac:dyDescent="0.3">
      <c r="A902" s="4"/>
      <c r="B902" s="4"/>
    </row>
    <row r="903" spans="1:2" ht="15.75" thickBot="1" x14ac:dyDescent="0.3">
      <c r="A903" s="4"/>
      <c r="B903" s="7" t="s">
        <v>230</v>
      </c>
    </row>
    <row r="904" spans="1:2" x14ac:dyDescent="0.25">
      <c r="A904" s="4"/>
      <c r="B904" s="5" t="s">
        <v>419</v>
      </c>
    </row>
    <row r="905" spans="1:2" x14ac:dyDescent="0.25">
      <c r="A905" s="4"/>
      <c r="B905" s="5" t="s">
        <v>158</v>
      </c>
    </row>
    <row r="906" spans="1:2" x14ac:dyDescent="0.25">
      <c r="A906" s="4"/>
      <c r="B906" s="5" t="s">
        <v>159</v>
      </c>
    </row>
    <row r="907" spans="1:2" x14ac:dyDescent="0.25">
      <c r="A907" s="4"/>
      <c r="B907" s="5" t="s">
        <v>220</v>
      </c>
    </row>
    <row r="908" spans="1:2" x14ac:dyDescent="0.25">
      <c r="A908" s="4"/>
      <c r="B908" s="5"/>
    </row>
    <row r="909" spans="1:2" x14ac:dyDescent="0.25">
      <c r="A909" s="4"/>
      <c r="B909" s="5"/>
    </row>
    <row r="910" spans="1:2" x14ac:dyDescent="0.25">
      <c r="A910" s="4"/>
      <c r="B910" s="5"/>
    </row>
    <row r="911" spans="1:2" x14ac:dyDescent="0.25">
      <c r="A911" s="4"/>
      <c r="B911" s="5"/>
    </row>
    <row r="912" spans="1:2" x14ac:dyDescent="0.25">
      <c r="A912" s="4"/>
      <c r="B912" s="5"/>
    </row>
    <row r="913" spans="1:2" ht="15.75" thickBot="1" x14ac:dyDescent="0.3">
      <c r="A913" s="4"/>
      <c r="B913" s="6"/>
    </row>
    <row r="914" spans="1:2" ht="15.75" thickBot="1" x14ac:dyDescent="0.3">
      <c r="A914" s="4"/>
      <c r="B914" s="4"/>
    </row>
    <row r="915" spans="1:2" ht="15.75" thickBot="1" x14ac:dyDescent="0.3">
      <c r="A915" s="4"/>
      <c r="B915" s="7" t="s">
        <v>231</v>
      </c>
    </row>
    <row r="916" spans="1:2" x14ac:dyDescent="0.25">
      <c r="A916" s="4"/>
      <c r="B916" s="5" t="s">
        <v>158</v>
      </c>
    </row>
    <row r="917" spans="1:2" x14ac:dyDescent="0.25">
      <c r="A917" s="4"/>
      <c r="B917" s="5" t="s">
        <v>159</v>
      </c>
    </row>
    <row r="918" spans="1:2" x14ac:dyDescent="0.25">
      <c r="A918" s="4"/>
      <c r="B918" s="5" t="s">
        <v>220</v>
      </c>
    </row>
    <row r="919" spans="1:2" x14ac:dyDescent="0.25">
      <c r="A919" s="4"/>
      <c r="B919" s="5" t="s">
        <v>419</v>
      </c>
    </row>
    <row r="920" spans="1:2" x14ac:dyDescent="0.25">
      <c r="A920" s="4"/>
      <c r="B920" s="5"/>
    </row>
    <row r="921" spans="1:2" x14ac:dyDescent="0.25">
      <c r="A921" s="4"/>
      <c r="B921" s="5"/>
    </row>
    <row r="922" spans="1:2" x14ac:dyDescent="0.25">
      <c r="A922" s="4"/>
      <c r="B922" s="5"/>
    </row>
    <row r="923" spans="1:2" x14ac:dyDescent="0.25">
      <c r="A923" s="4"/>
      <c r="B923" s="5"/>
    </row>
    <row r="924" spans="1:2" x14ac:dyDescent="0.25">
      <c r="A924" s="4"/>
      <c r="B924" s="5"/>
    </row>
    <row r="925" spans="1:2" ht="15.75" thickBot="1" x14ac:dyDescent="0.3">
      <c r="A925" s="4"/>
      <c r="B925" s="6"/>
    </row>
    <row r="926" spans="1:2" ht="15.75" thickBot="1" x14ac:dyDescent="0.3">
      <c r="A926" s="4"/>
      <c r="B926" s="4"/>
    </row>
    <row r="927" spans="1:2" ht="15.75" thickBot="1" x14ac:dyDescent="0.3">
      <c r="A927" s="4"/>
      <c r="B927" s="7" t="s">
        <v>232</v>
      </c>
    </row>
    <row r="928" spans="1:2" x14ac:dyDescent="0.25">
      <c r="A928" s="4"/>
      <c r="B928" s="5" t="s">
        <v>419</v>
      </c>
    </row>
    <row r="929" spans="1:2" x14ac:dyDescent="0.25">
      <c r="A929" s="4"/>
      <c r="B929" s="5" t="s">
        <v>158</v>
      </c>
    </row>
    <row r="930" spans="1:2" x14ac:dyDescent="0.25">
      <c r="A930" s="4"/>
      <c r="B930" s="5" t="s">
        <v>159</v>
      </c>
    </row>
    <row r="931" spans="1:2" x14ac:dyDescent="0.25">
      <c r="A931" s="4"/>
      <c r="B931" s="5" t="s">
        <v>220</v>
      </c>
    </row>
    <row r="932" spans="1:2" x14ac:dyDescent="0.25">
      <c r="A932" s="4"/>
      <c r="B932" s="5" t="s">
        <v>664</v>
      </c>
    </row>
    <row r="933" spans="1:2" x14ac:dyDescent="0.25">
      <c r="A933" s="4"/>
      <c r="B933" s="5" t="s">
        <v>164</v>
      </c>
    </row>
    <row r="934" spans="1:2" x14ac:dyDescent="0.25">
      <c r="A934" s="4"/>
      <c r="B934" s="5" t="s">
        <v>194</v>
      </c>
    </row>
    <row r="935" spans="1:2" x14ac:dyDescent="0.25">
      <c r="A935" s="4"/>
      <c r="B935" s="5"/>
    </row>
    <row r="936" spans="1:2" x14ac:dyDescent="0.25">
      <c r="A936" s="4"/>
      <c r="B936" s="5"/>
    </row>
    <row r="937" spans="1:2" ht="15.75" thickBot="1" x14ac:dyDescent="0.3">
      <c r="A937" s="4"/>
      <c r="B937" s="6"/>
    </row>
    <row r="938" spans="1:2" ht="15.75" thickBot="1" x14ac:dyDescent="0.3">
      <c r="A938" s="4"/>
      <c r="B938" s="4"/>
    </row>
    <row r="939" spans="1:2" ht="15.75" thickBot="1" x14ac:dyDescent="0.3">
      <c r="A939" s="4"/>
      <c r="B939" s="7" t="s">
        <v>233</v>
      </c>
    </row>
    <row r="940" spans="1:2" x14ac:dyDescent="0.25">
      <c r="A940" s="4"/>
      <c r="B940" s="5" t="s">
        <v>220</v>
      </c>
    </row>
    <row r="941" spans="1:2" x14ac:dyDescent="0.25">
      <c r="A941" s="4"/>
      <c r="B941" s="5" t="s">
        <v>164</v>
      </c>
    </row>
    <row r="942" spans="1:2" x14ac:dyDescent="0.25">
      <c r="A942" s="4"/>
      <c r="B942" s="5" t="s">
        <v>419</v>
      </c>
    </row>
    <row r="943" spans="1:2" x14ac:dyDescent="0.25">
      <c r="A943" s="4"/>
      <c r="B943" s="5"/>
    </row>
    <row r="944" spans="1:2" x14ac:dyDescent="0.25">
      <c r="A944" s="4"/>
      <c r="B944" s="5"/>
    </row>
    <row r="945" spans="1:2" x14ac:dyDescent="0.25">
      <c r="A945" s="4"/>
      <c r="B945" s="5"/>
    </row>
    <row r="946" spans="1:2" x14ac:dyDescent="0.25">
      <c r="A946" s="4"/>
      <c r="B946" s="5"/>
    </row>
    <row r="947" spans="1:2" x14ac:dyDescent="0.25">
      <c r="A947" s="4"/>
      <c r="B947" s="5"/>
    </row>
    <row r="948" spans="1:2" x14ac:dyDescent="0.25">
      <c r="A948" s="4"/>
      <c r="B948" s="5"/>
    </row>
    <row r="949" spans="1:2" ht="15.75" thickBot="1" x14ac:dyDescent="0.3">
      <c r="A949" s="4"/>
      <c r="B949" s="6"/>
    </row>
    <row r="950" spans="1:2" ht="15.75" thickBot="1" x14ac:dyDescent="0.3">
      <c r="A950" s="4"/>
      <c r="B950" s="4"/>
    </row>
    <row r="951" spans="1:2" ht="15.75" thickBot="1" x14ac:dyDescent="0.3">
      <c r="A951" s="4"/>
      <c r="B951" s="7" t="s">
        <v>234</v>
      </c>
    </row>
    <row r="952" spans="1:2" x14ac:dyDescent="0.25">
      <c r="A952" s="4"/>
      <c r="B952" s="5" t="s">
        <v>419</v>
      </c>
    </row>
    <row r="953" spans="1:2" x14ac:dyDescent="0.25">
      <c r="A953" s="4"/>
      <c r="B953" s="5" t="s">
        <v>158</v>
      </c>
    </row>
    <row r="954" spans="1:2" x14ac:dyDescent="0.25">
      <c r="A954" s="4"/>
      <c r="B954" s="5" t="s">
        <v>159</v>
      </c>
    </row>
    <row r="955" spans="1:2" x14ac:dyDescent="0.25">
      <c r="A955" s="4"/>
      <c r="B955" s="5" t="s">
        <v>220</v>
      </c>
    </row>
    <row r="956" spans="1:2" x14ac:dyDescent="0.25">
      <c r="A956" s="4"/>
      <c r="B956" s="5"/>
    </row>
    <row r="957" spans="1:2" x14ac:dyDescent="0.25">
      <c r="A957" s="4"/>
      <c r="B957" s="5"/>
    </row>
    <row r="958" spans="1:2" x14ac:dyDescent="0.25">
      <c r="A958" s="4"/>
      <c r="B958" s="5"/>
    </row>
    <row r="959" spans="1:2" x14ac:dyDescent="0.25">
      <c r="A959" s="4"/>
      <c r="B959" s="5"/>
    </row>
    <row r="960" spans="1:2" x14ac:dyDescent="0.25">
      <c r="A960" s="4"/>
      <c r="B960" s="5"/>
    </row>
    <row r="961" spans="1:2" ht="15.75" thickBot="1" x14ac:dyDescent="0.3">
      <c r="A961" s="4"/>
      <c r="B961" s="6"/>
    </row>
    <row r="962" spans="1:2" ht="15.75" thickBot="1" x14ac:dyDescent="0.3">
      <c r="A962" s="4"/>
      <c r="B962" s="4"/>
    </row>
    <row r="963" spans="1:2" ht="15.75" thickBot="1" x14ac:dyDescent="0.3">
      <c r="A963" s="4"/>
      <c r="B963" s="7" t="s">
        <v>235</v>
      </c>
    </row>
    <row r="964" spans="1:2" x14ac:dyDescent="0.25">
      <c r="A964" s="4"/>
      <c r="B964" s="5" t="s">
        <v>155</v>
      </c>
    </row>
    <row r="965" spans="1:2" x14ac:dyDescent="0.25">
      <c r="A965" s="4"/>
      <c r="B965" s="5" t="s">
        <v>158</v>
      </c>
    </row>
    <row r="966" spans="1:2" x14ac:dyDescent="0.25">
      <c r="A966" s="4"/>
      <c r="B966" s="5" t="s">
        <v>159</v>
      </c>
    </row>
    <row r="967" spans="1:2" x14ac:dyDescent="0.25">
      <c r="A967" s="4"/>
      <c r="B967" s="5" t="s">
        <v>220</v>
      </c>
    </row>
    <row r="968" spans="1:2" x14ac:dyDescent="0.25">
      <c r="A968" s="4"/>
      <c r="B968" s="5"/>
    </row>
    <row r="969" spans="1:2" x14ac:dyDescent="0.25">
      <c r="A969" s="4"/>
      <c r="B969" s="5"/>
    </row>
    <row r="970" spans="1:2" x14ac:dyDescent="0.25">
      <c r="A970" s="4"/>
      <c r="B970" s="5"/>
    </row>
    <row r="971" spans="1:2" x14ac:dyDescent="0.25">
      <c r="A971" s="4"/>
      <c r="B971" s="5"/>
    </row>
    <row r="972" spans="1:2" x14ac:dyDescent="0.25">
      <c r="A972" s="4"/>
      <c r="B972" s="5"/>
    </row>
    <row r="973" spans="1:2" ht="15.75" thickBot="1" x14ac:dyDescent="0.3">
      <c r="A973" s="4"/>
      <c r="B973" s="6"/>
    </row>
    <row r="974" spans="1:2" ht="15.75" thickBot="1" x14ac:dyDescent="0.3">
      <c r="A974" s="4"/>
      <c r="B974" s="4"/>
    </row>
    <row r="975" spans="1:2" ht="15.75" thickBot="1" x14ac:dyDescent="0.3">
      <c r="A975" s="4"/>
      <c r="B975" s="7" t="s">
        <v>236</v>
      </c>
    </row>
    <row r="976" spans="1:2" x14ac:dyDescent="0.25">
      <c r="A976" s="4"/>
      <c r="B976" s="5" t="s">
        <v>155</v>
      </c>
    </row>
    <row r="977" spans="1:2" x14ac:dyDescent="0.25">
      <c r="A977" s="4"/>
      <c r="B977" s="5" t="s">
        <v>220</v>
      </c>
    </row>
    <row r="978" spans="1:2" x14ac:dyDescent="0.25">
      <c r="A978" s="4"/>
      <c r="B978" s="5"/>
    </row>
    <row r="979" spans="1:2" x14ac:dyDescent="0.25">
      <c r="A979" s="4"/>
      <c r="B979" s="5"/>
    </row>
    <row r="980" spans="1:2" x14ac:dyDescent="0.25">
      <c r="A980" s="4"/>
      <c r="B980" s="5"/>
    </row>
    <row r="981" spans="1:2" x14ac:dyDescent="0.25">
      <c r="A981" s="4"/>
      <c r="B981" s="5"/>
    </row>
    <row r="982" spans="1:2" x14ac:dyDescent="0.25">
      <c r="A982" s="4"/>
      <c r="B982" s="5"/>
    </row>
    <row r="983" spans="1:2" x14ac:dyDescent="0.25">
      <c r="A983" s="4"/>
      <c r="B983" s="5"/>
    </row>
    <row r="984" spans="1:2" x14ac:dyDescent="0.25">
      <c r="A984" s="4"/>
      <c r="B984" s="5"/>
    </row>
    <row r="985" spans="1:2" ht="15.75" thickBot="1" x14ac:dyDescent="0.3">
      <c r="A985" s="4"/>
      <c r="B985" s="6"/>
    </row>
    <row r="986" spans="1:2" ht="15.75" thickBot="1" x14ac:dyDescent="0.3">
      <c r="A986" s="4"/>
      <c r="B986" s="4"/>
    </row>
    <row r="987" spans="1:2" ht="15.75" thickBot="1" x14ac:dyDescent="0.3">
      <c r="A987" s="4"/>
      <c r="B987" s="7" t="s">
        <v>237</v>
      </c>
    </row>
    <row r="988" spans="1:2" x14ac:dyDescent="0.25">
      <c r="A988" s="4"/>
      <c r="B988" s="5" t="s">
        <v>155</v>
      </c>
    </row>
    <row r="989" spans="1:2" x14ac:dyDescent="0.25">
      <c r="A989" s="4"/>
      <c r="B989" s="5" t="s">
        <v>158</v>
      </c>
    </row>
    <row r="990" spans="1:2" x14ac:dyDescent="0.25">
      <c r="A990" s="4"/>
      <c r="B990" s="5" t="s">
        <v>159</v>
      </c>
    </row>
    <row r="991" spans="1:2" x14ac:dyDescent="0.25">
      <c r="A991" s="4"/>
      <c r="B991" s="5" t="s">
        <v>220</v>
      </c>
    </row>
    <row r="992" spans="1:2" x14ac:dyDescent="0.25">
      <c r="A992" s="4"/>
      <c r="B992" s="5"/>
    </row>
    <row r="993" spans="1:2" x14ac:dyDescent="0.25">
      <c r="A993" s="4"/>
      <c r="B993" s="5"/>
    </row>
    <row r="994" spans="1:2" x14ac:dyDescent="0.25">
      <c r="A994" s="4"/>
      <c r="B994" s="5"/>
    </row>
    <row r="995" spans="1:2" x14ac:dyDescent="0.25">
      <c r="A995" s="4"/>
      <c r="B995" s="5"/>
    </row>
    <row r="996" spans="1:2" x14ac:dyDescent="0.25">
      <c r="A996" s="4"/>
      <c r="B996" s="5"/>
    </row>
    <row r="997" spans="1:2" ht="15.75" thickBot="1" x14ac:dyDescent="0.3">
      <c r="A997" s="4"/>
      <c r="B997" s="6"/>
    </row>
    <row r="998" spans="1:2" ht="15.75" thickBot="1" x14ac:dyDescent="0.3">
      <c r="A998" s="4"/>
      <c r="B998" s="4"/>
    </row>
    <row r="999" spans="1:2" ht="15.75" thickBot="1" x14ac:dyDescent="0.3">
      <c r="A999" s="4"/>
      <c r="B999" s="7" t="s">
        <v>238</v>
      </c>
    </row>
    <row r="1000" spans="1:2" x14ac:dyDescent="0.25">
      <c r="A1000" s="4"/>
      <c r="B1000" s="5" t="s">
        <v>155</v>
      </c>
    </row>
    <row r="1001" spans="1:2" x14ac:dyDescent="0.25">
      <c r="A1001" s="4"/>
      <c r="B1001" s="5" t="s">
        <v>158</v>
      </c>
    </row>
    <row r="1002" spans="1:2" x14ac:dyDescent="0.25">
      <c r="A1002" s="4"/>
      <c r="B1002" s="5" t="s">
        <v>159</v>
      </c>
    </row>
    <row r="1003" spans="1:2" x14ac:dyDescent="0.25">
      <c r="A1003" s="4"/>
      <c r="B1003" s="5" t="s">
        <v>220</v>
      </c>
    </row>
    <row r="1004" spans="1:2" x14ac:dyDescent="0.25">
      <c r="A1004" s="4"/>
      <c r="B1004" s="5"/>
    </row>
    <row r="1005" spans="1:2" x14ac:dyDescent="0.25">
      <c r="A1005" s="4"/>
      <c r="B1005" s="5"/>
    </row>
    <row r="1006" spans="1:2" x14ac:dyDescent="0.25">
      <c r="A1006" s="4"/>
      <c r="B1006" s="5"/>
    </row>
    <row r="1007" spans="1:2" x14ac:dyDescent="0.25">
      <c r="A1007" s="4"/>
      <c r="B1007" s="5"/>
    </row>
    <row r="1008" spans="1:2" x14ac:dyDescent="0.25">
      <c r="A1008" s="4"/>
      <c r="B1008" s="5"/>
    </row>
    <row r="1009" spans="1:2" ht="15.75" thickBot="1" x14ac:dyDescent="0.3">
      <c r="A1009" s="4"/>
      <c r="B1009" s="6"/>
    </row>
    <row r="1010" spans="1:2" ht="15.75" thickBot="1" x14ac:dyDescent="0.3">
      <c r="A1010" s="4"/>
      <c r="B1010" s="4"/>
    </row>
    <row r="1011" spans="1:2" ht="15.75" thickBot="1" x14ac:dyDescent="0.3">
      <c r="A1011" s="4"/>
      <c r="B1011" s="7" t="s">
        <v>239</v>
      </c>
    </row>
    <row r="1012" spans="1:2" x14ac:dyDescent="0.25">
      <c r="A1012" s="4"/>
      <c r="B1012" s="5" t="s">
        <v>155</v>
      </c>
    </row>
    <row r="1013" spans="1:2" x14ac:dyDescent="0.25">
      <c r="A1013" s="4"/>
      <c r="B1013" s="5" t="s">
        <v>158</v>
      </c>
    </row>
    <row r="1014" spans="1:2" x14ac:dyDescent="0.25">
      <c r="A1014" s="4"/>
      <c r="B1014" s="5" t="s">
        <v>159</v>
      </c>
    </row>
    <row r="1015" spans="1:2" x14ac:dyDescent="0.25">
      <c r="A1015" s="4"/>
      <c r="B1015" s="5" t="s">
        <v>220</v>
      </c>
    </row>
    <row r="1016" spans="1:2" x14ac:dyDescent="0.25">
      <c r="A1016" s="4"/>
      <c r="B1016" s="5"/>
    </row>
    <row r="1017" spans="1:2" x14ac:dyDescent="0.25">
      <c r="A1017" s="4"/>
      <c r="B1017" s="5"/>
    </row>
    <row r="1018" spans="1:2" x14ac:dyDescent="0.25">
      <c r="A1018" s="4"/>
      <c r="B1018" s="5"/>
    </row>
    <row r="1019" spans="1:2" x14ac:dyDescent="0.25">
      <c r="A1019" s="4"/>
      <c r="B1019" s="5"/>
    </row>
    <row r="1020" spans="1:2" x14ac:dyDescent="0.25">
      <c r="A1020" s="4"/>
      <c r="B1020" s="5"/>
    </row>
    <row r="1021" spans="1:2" ht="15.75" thickBot="1" x14ac:dyDescent="0.3">
      <c r="A1021" s="4"/>
      <c r="B1021" s="6"/>
    </row>
    <row r="1022" spans="1:2" ht="15.75" thickBot="1" x14ac:dyDescent="0.3">
      <c r="A1022" s="4"/>
      <c r="B1022" s="4"/>
    </row>
    <row r="1023" spans="1:2" ht="15.75" thickBot="1" x14ac:dyDescent="0.3">
      <c r="A1023" s="4"/>
      <c r="B1023" s="7" t="s">
        <v>240</v>
      </c>
    </row>
    <row r="1024" spans="1:2" x14ac:dyDescent="0.25">
      <c r="A1024" s="4"/>
      <c r="B1024" s="5" t="s">
        <v>155</v>
      </c>
    </row>
    <row r="1025" spans="1:2" x14ac:dyDescent="0.25">
      <c r="A1025" s="4"/>
      <c r="B1025" s="5" t="s">
        <v>220</v>
      </c>
    </row>
    <row r="1026" spans="1:2" x14ac:dyDescent="0.25">
      <c r="A1026" s="4"/>
      <c r="B1026" s="5"/>
    </row>
    <row r="1027" spans="1:2" x14ac:dyDescent="0.25">
      <c r="A1027" s="4"/>
      <c r="B1027" s="5"/>
    </row>
    <row r="1028" spans="1:2" x14ac:dyDescent="0.25">
      <c r="A1028" s="4"/>
      <c r="B1028" s="5"/>
    </row>
    <row r="1029" spans="1:2" x14ac:dyDescent="0.25">
      <c r="A1029" s="4"/>
      <c r="B1029" s="5"/>
    </row>
    <row r="1030" spans="1:2" x14ac:dyDescent="0.25">
      <c r="A1030" s="4"/>
      <c r="B1030" s="5"/>
    </row>
    <row r="1031" spans="1:2" x14ac:dyDescent="0.25">
      <c r="A1031" s="4"/>
      <c r="B1031" s="5"/>
    </row>
    <row r="1032" spans="1:2" x14ac:dyDescent="0.25">
      <c r="A1032" s="4"/>
      <c r="B1032" s="5"/>
    </row>
    <row r="1033" spans="1:2" ht="15.75" thickBot="1" x14ac:dyDescent="0.3">
      <c r="A1033" s="4"/>
      <c r="B1033" s="6"/>
    </row>
    <row r="1034" spans="1:2" ht="15.75" thickBot="1" x14ac:dyDescent="0.3">
      <c r="A1034" s="4"/>
      <c r="B1034" s="4"/>
    </row>
    <row r="1035" spans="1:2" ht="15.75" thickBot="1" x14ac:dyDescent="0.3">
      <c r="A1035" s="4"/>
      <c r="B1035" s="7" t="s">
        <v>241</v>
      </c>
    </row>
    <row r="1036" spans="1:2" x14ac:dyDescent="0.25">
      <c r="A1036" s="4"/>
      <c r="B1036" s="5" t="s">
        <v>155</v>
      </c>
    </row>
    <row r="1037" spans="1:2" x14ac:dyDescent="0.25">
      <c r="A1037" s="4"/>
      <c r="B1037" s="5" t="s">
        <v>158</v>
      </c>
    </row>
    <row r="1038" spans="1:2" x14ac:dyDescent="0.25">
      <c r="A1038" s="4"/>
      <c r="B1038" s="5" t="s">
        <v>159</v>
      </c>
    </row>
    <row r="1039" spans="1:2" x14ac:dyDescent="0.25">
      <c r="A1039" s="4"/>
      <c r="B1039" s="5" t="s">
        <v>220</v>
      </c>
    </row>
    <row r="1040" spans="1:2" x14ac:dyDescent="0.25">
      <c r="A1040" s="4"/>
      <c r="B1040" s="5"/>
    </row>
    <row r="1041" spans="1:2" x14ac:dyDescent="0.25">
      <c r="A1041" s="4"/>
      <c r="B1041" s="5"/>
    </row>
    <row r="1042" spans="1:2" x14ac:dyDescent="0.25">
      <c r="A1042" s="4"/>
      <c r="B1042" s="5"/>
    </row>
    <row r="1043" spans="1:2" x14ac:dyDescent="0.25">
      <c r="A1043" s="4"/>
      <c r="B1043" s="5"/>
    </row>
    <row r="1044" spans="1:2" x14ac:dyDescent="0.25">
      <c r="A1044" s="4"/>
      <c r="B1044" s="5"/>
    </row>
    <row r="1045" spans="1:2" ht="15.75" thickBot="1" x14ac:dyDescent="0.3">
      <c r="A1045" s="4"/>
      <c r="B1045" s="6"/>
    </row>
    <row r="1046" spans="1:2" ht="15.75" thickBot="1" x14ac:dyDescent="0.3">
      <c r="A1046" s="4"/>
      <c r="B1046" s="4"/>
    </row>
    <row r="1047" spans="1:2" ht="15.75" thickBot="1" x14ac:dyDescent="0.3">
      <c r="A1047" s="4"/>
      <c r="B1047" s="7" t="s">
        <v>242</v>
      </c>
    </row>
    <row r="1048" spans="1:2" x14ac:dyDescent="0.25">
      <c r="A1048" s="4"/>
      <c r="B1048" s="5" t="s">
        <v>158</v>
      </c>
    </row>
    <row r="1049" spans="1:2" x14ac:dyDescent="0.25">
      <c r="A1049" s="4"/>
      <c r="B1049" s="5" t="s">
        <v>159</v>
      </c>
    </row>
    <row r="1050" spans="1:2" x14ac:dyDescent="0.25">
      <c r="A1050" s="4"/>
      <c r="B1050" s="5" t="s">
        <v>220</v>
      </c>
    </row>
    <row r="1051" spans="1:2" x14ac:dyDescent="0.25">
      <c r="A1051" s="4"/>
      <c r="B1051" s="5" t="s">
        <v>164</v>
      </c>
    </row>
    <row r="1052" spans="1:2" x14ac:dyDescent="0.25">
      <c r="A1052" s="4"/>
      <c r="B1052" s="5" t="s">
        <v>153</v>
      </c>
    </row>
    <row r="1053" spans="1:2" x14ac:dyDescent="0.25">
      <c r="A1053" s="4"/>
      <c r="B1053" s="5" t="s">
        <v>154</v>
      </c>
    </row>
    <row r="1054" spans="1:2" x14ac:dyDescent="0.25">
      <c r="A1054" s="4"/>
      <c r="B1054" s="5"/>
    </row>
    <row r="1055" spans="1:2" x14ac:dyDescent="0.25">
      <c r="A1055" s="4"/>
      <c r="B1055" s="5"/>
    </row>
    <row r="1056" spans="1:2" x14ac:dyDescent="0.25">
      <c r="A1056" s="4"/>
      <c r="B1056" s="5"/>
    </row>
    <row r="1057" spans="1:2" ht="15.75" thickBot="1" x14ac:dyDescent="0.3">
      <c r="A1057" s="4"/>
      <c r="B1057" s="6"/>
    </row>
    <row r="1058" spans="1:2" ht="15.75" thickBot="1" x14ac:dyDescent="0.3">
      <c r="A1058" s="4"/>
      <c r="B1058" s="4"/>
    </row>
    <row r="1059" spans="1:2" ht="15.75" thickBot="1" x14ac:dyDescent="0.3">
      <c r="A1059" s="4"/>
      <c r="B1059" s="7" t="s">
        <v>243</v>
      </c>
    </row>
    <row r="1060" spans="1:2" x14ac:dyDescent="0.25">
      <c r="A1060" s="4"/>
      <c r="B1060" s="5" t="s">
        <v>220</v>
      </c>
    </row>
    <row r="1061" spans="1:2" x14ac:dyDescent="0.25">
      <c r="A1061" s="4"/>
      <c r="B1061" s="5" t="s">
        <v>164</v>
      </c>
    </row>
    <row r="1062" spans="1:2" x14ac:dyDescent="0.25">
      <c r="A1062" s="4"/>
      <c r="B1062" s="5"/>
    </row>
    <row r="1063" spans="1:2" x14ac:dyDescent="0.25">
      <c r="A1063" s="4"/>
      <c r="B1063" s="5"/>
    </row>
    <row r="1064" spans="1:2" x14ac:dyDescent="0.25">
      <c r="A1064" s="4"/>
      <c r="B1064" s="5"/>
    </row>
    <row r="1065" spans="1:2" x14ac:dyDescent="0.25">
      <c r="A1065" s="4"/>
      <c r="B1065" s="5"/>
    </row>
    <row r="1066" spans="1:2" x14ac:dyDescent="0.25">
      <c r="A1066" s="4"/>
      <c r="B1066" s="5"/>
    </row>
    <row r="1067" spans="1:2" x14ac:dyDescent="0.25">
      <c r="A1067" s="4"/>
      <c r="B1067" s="5"/>
    </row>
    <row r="1068" spans="1:2" x14ac:dyDescent="0.25">
      <c r="A1068" s="4"/>
      <c r="B1068" s="5"/>
    </row>
    <row r="1069" spans="1:2" ht="15.75" thickBot="1" x14ac:dyDescent="0.3">
      <c r="A1069" s="4"/>
      <c r="B1069" s="6"/>
    </row>
    <row r="1070" spans="1:2" ht="15.75" thickBot="1" x14ac:dyDescent="0.3">
      <c r="A1070" s="4"/>
      <c r="B1070" s="4"/>
    </row>
    <row r="1071" spans="1:2" ht="15.75" thickBot="1" x14ac:dyDescent="0.3">
      <c r="A1071" s="4"/>
      <c r="B1071" s="7" t="s">
        <v>244</v>
      </c>
    </row>
    <row r="1072" spans="1:2" x14ac:dyDescent="0.25">
      <c r="A1072" s="4"/>
      <c r="B1072" s="5" t="s">
        <v>158</v>
      </c>
    </row>
    <row r="1073" spans="1:2" x14ac:dyDescent="0.25">
      <c r="A1073" s="4"/>
      <c r="B1073" s="5" t="s">
        <v>159</v>
      </c>
    </row>
    <row r="1074" spans="1:2" x14ac:dyDescent="0.25">
      <c r="A1074" s="4"/>
      <c r="B1074" s="5" t="s">
        <v>220</v>
      </c>
    </row>
    <row r="1075" spans="1:2" x14ac:dyDescent="0.25">
      <c r="A1075" s="4"/>
      <c r="B1075" s="5" t="s">
        <v>164</v>
      </c>
    </row>
    <row r="1076" spans="1:2" x14ac:dyDescent="0.25">
      <c r="A1076" s="4"/>
      <c r="B1076" s="5" t="s">
        <v>153</v>
      </c>
    </row>
    <row r="1077" spans="1:2" x14ac:dyDescent="0.25">
      <c r="A1077" s="4"/>
      <c r="B1077" s="5" t="s">
        <v>154</v>
      </c>
    </row>
    <row r="1078" spans="1:2" x14ac:dyDescent="0.25">
      <c r="A1078" s="4"/>
      <c r="B1078" s="5"/>
    </row>
    <row r="1079" spans="1:2" x14ac:dyDescent="0.25">
      <c r="A1079" s="4"/>
      <c r="B1079" s="5"/>
    </row>
    <row r="1080" spans="1:2" x14ac:dyDescent="0.25">
      <c r="A1080" s="4"/>
      <c r="B1080" s="5"/>
    </row>
    <row r="1081" spans="1:2" ht="15.75" thickBot="1" x14ac:dyDescent="0.3">
      <c r="A1081" s="4"/>
      <c r="B1081" s="6"/>
    </row>
    <row r="1082" spans="1:2" ht="15.75" thickBot="1" x14ac:dyDescent="0.3">
      <c r="A1082" s="4"/>
      <c r="B1082" s="4"/>
    </row>
    <row r="1083" spans="1:2" ht="15.75" thickBot="1" x14ac:dyDescent="0.3">
      <c r="A1083" s="4"/>
      <c r="B1083" s="7" t="s">
        <v>245</v>
      </c>
    </row>
    <row r="1084" spans="1:2" x14ac:dyDescent="0.25">
      <c r="A1084" s="4"/>
      <c r="B1084" s="5" t="s">
        <v>158</v>
      </c>
    </row>
    <row r="1085" spans="1:2" x14ac:dyDescent="0.25">
      <c r="A1085" s="4"/>
      <c r="B1085" s="5" t="s">
        <v>159</v>
      </c>
    </row>
    <row r="1086" spans="1:2" x14ac:dyDescent="0.25">
      <c r="A1086" s="4"/>
      <c r="B1086" s="5" t="s">
        <v>220</v>
      </c>
    </row>
    <row r="1087" spans="1:2" x14ac:dyDescent="0.25">
      <c r="A1087" s="4"/>
      <c r="B1087" s="5" t="s">
        <v>164</v>
      </c>
    </row>
    <row r="1088" spans="1:2" x14ac:dyDescent="0.25">
      <c r="A1088" s="4"/>
      <c r="B1088" s="5" t="s">
        <v>153</v>
      </c>
    </row>
    <row r="1089" spans="1:2" x14ac:dyDescent="0.25">
      <c r="A1089" s="4"/>
      <c r="B1089" s="5" t="s">
        <v>154</v>
      </c>
    </row>
    <row r="1090" spans="1:2" x14ac:dyDescent="0.25">
      <c r="A1090" s="4"/>
      <c r="B1090" s="5"/>
    </row>
    <row r="1091" spans="1:2" x14ac:dyDescent="0.25">
      <c r="A1091" s="4"/>
      <c r="B1091" s="5"/>
    </row>
    <row r="1092" spans="1:2" x14ac:dyDescent="0.25">
      <c r="A1092" s="4"/>
      <c r="B1092" s="5"/>
    </row>
    <row r="1093" spans="1:2" ht="15.75" thickBot="1" x14ac:dyDescent="0.3">
      <c r="A1093" s="4"/>
      <c r="B1093" s="6"/>
    </row>
    <row r="1094" spans="1:2" ht="15.75" thickBot="1" x14ac:dyDescent="0.3">
      <c r="A1094" s="4"/>
      <c r="B1094" s="4"/>
    </row>
    <row r="1095" spans="1:2" ht="15.75" thickBot="1" x14ac:dyDescent="0.3">
      <c r="A1095" s="4"/>
      <c r="B1095" s="7" t="s">
        <v>666</v>
      </c>
    </row>
    <row r="1096" spans="1:2" x14ac:dyDescent="0.25">
      <c r="A1096" s="4"/>
      <c r="B1096" s="5" t="s">
        <v>158</v>
      </c>
    </row>
    <row r="1097" spans="1:2" x14ac:dyDescent="0.25">
      <c r="A1097" s="4"/>
      <c r="B1097" s="5" t="s">
        <v>159</v>
      </c>
    </row>
    <row r="1098" spans="1:2" x14ac:dyDescent="0.25">
      <c r="A1098" s="4"/>
      <c r="B1098" s="5" t="s">
        <v>220</v>
      </c>
    </row>
    <row r="1099" spans="1:2" x14ac:dyDescent="0.25">
      <c r="A1099" s="4"/>
      <c r="B1099" s="5" t="s">
        <v>164</v>
      </c>
    </row>
    <row r="1100" spans="1:2" x14ac:dyDescent="0.25">
      <c r="A1100" s="4"/>
      <c r="B1100" s="5" t="s">
        <v>153</v>
      </c>
    </row>
    <row r="1101" spans="1:2" x14ac:dyDescent="0.25">
      <c r="A1101" s="4"/>
      <c r="B1101" s="5" t="s">
        <v>154</v>
      </c>
    </row>
    <row r="1102" spans="1:2" x14ac:dyDescent="0.25">
      <c r="A1102" s="4"/>
      <c r="B1102" s="5"/>
    </row>
    <row r="1103" spans="1:2" x14ac:dyDescent="0.25">
      <c r="A1103" s="4"/>
      <c r="B1103" s="5"/>
    </row>
    <row r="1104" spans="1:2" x14ac:dyDescent="0.25">
      <c r="A1104" s="4"/>
      <c r="B1104" s="5"/>
    </row>
    <row r="1105" spans="1:2" ht="15.75" thickBot="1" x14ac:dyDescent="0.3">
      <c r="A1105" s="4"/>
      <c r="B1105" s="6"/>
    </row>
    <row r="1106" spans="1:2" ht="15.75" thickBot="1" x14ac:dyDescent="0.3">
      <c r="A1106" s="4"/>
      <c r="B1106" s="4"/>
    </row>
    <row r="1107" spans="1:2" ht="15.75" thickBot="1" x14ac:dyDescent="0.3">
      <c r="A1107" s="4"/>
      <c r="B1107" s="7" t="s">
        <v>246</v>
      </c>
    </row>
    <row r="1108" spans="1:2" x14ac:dyDescent="0.25">
      <c r="A1108" s="4"/>
      <c r="B1108" s="5" t="s">
        <v>220</v>
      </c>
    </row>
    <row r="1109" spans="1:2" x14ac:dyDescent="0.25">
      <c r="A1109" s="4"/>
      <c r="B1109" s="5" t="s">
        <v>164</v>
      </c>
    </row>
    <row r="1110" spans="1:2" x14ac:dyDescent="0.25">
      <c r="A1110" s="4"/>
      <c r="B1110" s="5" t="s">
        <v>153</v>
      </c>
    </row>
    <row r="1111" spans="1:2" x14ac:dyDescent="0.25">
      <c r="A1111" s="4"/>
      <c r="B1111" s="5" t="s">
        <v>154</v>
      </c>
    </row>
    <row r="1112" spans="1:2" x14ac:dyDescent="0.25">
      <c r="A1112" s="4"/>
      <c r="B1112" s="5"/>
    </row>
    <row r="1113" spans="1:2" x14ac:dyDescent="0.25">
      <c r="A1113" s="4"/>
      <c r="B1113" s="5"/>
    </row>
    <row r="1114" spans="1:2" x14ac:dyDescent="0.25">
      <c r="A1114" s="4"/>
      <c r="B1114" s="5"/>
    </row>
    <row r="1115" spans="1:2" x14ac:dyDescent="0.25">
      <c r="A1115" s="4"/>
      <c r="B1115" s="5"/>
    </row>
    <row r="1116" spans="1:2" x14ac:dyDescent="0.25">
      <c r="A1116" s="4"/>
      <c r="B1116" s="5"/>
    </row>
    <row r="1117" spans="1:2" ht="15.75" thickBot="1" x14ac:dyDescent="0.3">
      <c r="A1117" s="4"/>
      <c r="B1117" s="6"/>
    </row>
    <row r="1118" spans="1:2" ht="15.75" thickBot="1" x14ac:dyDescent="0.3">
      <c r="A1118" s="4"/>
      <c r="B1118" s="4"/>
    </row>
    <row r="1119" spans="1:2" ht="15.75" thickBot="1" x14ac:dyDescent="0.3">
      <c r="A1119" s="4"/>
      <c r="B1119" s="7" t="s">
        <v>247</v>
      </c>
    </row>
    <row r="1120" spans="1:2" x14ac:dyDescent="0.25">
      <c r="A1120" s="4"/>
      <c r="B1120" s="5" t="s">
        <v>158</v>
      </c>
    </row>
    <row r="1121" spans="1:2" x14ac:dyDescent="0.25">
      <c r="A1121" s="4"/>
      <c r="B1121" s="5" t="s">
        <v>159</v>
      </c>
    </row>
    <row r="1122" spans="1:2" x14ac:dyDescent="0.25">
      <c r="A1122" s="4"/>
      <c r="B1122" s="5" t="s">
        <v>220</v>
      </c>
    </row>
    <row r="1123" spans="1:2" x14ac:dyDescent="0.25">
      <c r="A1123" s="4"/>
      <c r="B1123" s="5" t="s">
        <v>164</v>
      </c>
    </row>
    <row r="1124" spans="1:2" x14ac:dyDescent="0.25">
      <c r="A1124" s="4"/>
      <c r="B1124" s="5" t="s">
        <v>153</v>
      </c>
    </row>
    <row r="1125" spans="1:2" x14ac:dyDescent="0.25">
      <c r="A1125" s="4"/>
      <c r="B1125" s="5" t="s">
        <v>154</v>
      </c>
    </row>
    <row r="1126" spans="1:2" x14ac:dyDescent="0.25">
      <c r="A1126" s="4"/>
      <c r="B1126" s="5"/>
    </row>
    <row r="1127" spans="1:2" x14ac:dyDescent="0.25">
      <c r="A1127" s="4"/>
      <c r="B1127" s="5"/>
    </row>
    <row r="1128" spans="1:2" x14ac:dyDescent="0.25">
      <c r="A1128" s="4"/>
      <c r="B1128" s="5"/>
    </row>
    <row r="1129" spans="1:2" ht="15.75" thickBot="1" x14ac:dyDescent="0.3">
      <c r="A1129" s="4"/>
      <c r="B1129" s="6"/>
    </row>
    <row r="1130" spans="1:2" ht="15.75" thickBot="1" x14ac:dyDescent="0.3">
      <c r="A1130" s="4"/>
      <c r="B1130" s="4"/>
    </row>
    <row r="1131" spans="1:2" ht="15.75" thickBot="1" x14ac:dyDescent="0.3">
      <c r="A1131" s="4"/>
      <c r="B1131" s="7" t="s">
        <v>248</v>
      </c>
    </row>
    <row r="1132" spans="1:2" x14ac:dyDescent="0.25">
      <c r="A1132" s="4"/>
      <c r="B1132" s="5" t="s">
        <v>420</v>
      </c>
    </row>
    <row r="1133" spans="1:2" x14ac:dyDescent="0.25">
      <c r="A1133" s="4"/>
      <c r="B1133" s="5" t="s">
        <v>158</v>
      </c>
    </row>
    <row r="1134" spans="1:2" x14ac:dyDescent="0.25">
      <c r="A1134" s="4"/>
      <c r="B1134" s="5" t="s">
        <v>159</v>
      </c>
    </row>
    <row r="1135" spans="1:2" x14ac:dyDescent="0.25">
      <c r="A1135" s="4"/>
      <c r="B1135" s="5" t="s">
        <v>220</v>
      </c>
    </row>
    <row r="1136" spans="1:2" x14ac:dyDescent="0.25">
      <c r="A1136" s="4"/>
      <c r="B1136" s="5"/>
    </row>
    <row r="1137" spans="1:2" x14ac:dyDescent="0.25">
      <c r="A1137" s="4"/>
      <c r="B1137" s="5"/>
    </row>
    <row r="1138" spans="1:2" x14ac:dyDescent="0.25">
      <c r="A1138" s="4"/>
      <c r="B1138" s="5"/>
    </row>
    <row r="1139" spans="1:2" x14ac:dyDescent="0.25">
      <c r="A1139" s="4"/>
      <c r="B1139" s="5"/>
    </row>
    <row r="1140" spans="1:2" x14ac:dyDescent="0.25">
      <c r="A1140" s="4"/>
      <c r="B1140" s="5"/>
    </row>
    <row r="1141" spans="1:2" ht="15.75" thickBot="1" x14ac:dyDescent="0.3">
      <c r="A1141" s="4"/>
      <c r="B1141" s="6"/>
    </row>
    <row r="1142" spans="1:2" ht="15.75" thickBot="1" x14ac:dyDescent="0.3">
      <c r="A1142" s="4"/>
      <c r="B1142" s="4"/>
    </row>
    <row r="1143" spans="1:2" ht="15.75" thickBot="1" x14ac:dyDescent="0.3">
      <c r="A1143" s="4"/>
      <c r="B1143" s="7" t="s">
        <v>249</v>
      </c>
    </row>
    <row r="1144" spans="1:2" x14ac:dyDescent="0.25">
      <c r="A1144" s="4"/>
      <c r="B1144" s="5" t="s">
        <v>220</v>
      </c>
    </row>
    <row r="1145" spans="1:2" x14ac:dyDescent="0.25">
      <c r="A1145" s="4"/>
      <c r="B1145" s="5" t="s">
        <v>420</v>
      </c>
    </row>
    <row r="1146" spans="1:2" x14ac:dyDescent="0.25">
      <c r="A1146" s="4"/>
      <c r="B1146" s="5"/>
    </row>
    <row r="1147" spans="1:2" x14ac:dyDescent="0.25">
      <c r="A1147" s="4"/>
      <c r="B1147" s="5"/>
    </row>
    <row r="1148" spans="1:2" x14ac:dyDescent="0.25">
      <c r="A1148" s="4"/>
      <c r="B1148" s="5"/>
    </row>
    <row r="1149" spans="1:2" x14ac:dyDescent="0.25">
      <c r="A1149" s="4"/>
      <c r="B1149" s="5"/>
    </row>
    <row r="1150" spans="1:2" x14ac:dyDescent="0.25">
      <c r="A1150" s="4"/>
      <c r="B1150" s="5"/>
    </row>
    <row r="1151" spans="1:2" x14ac:dyDescent="0.25">
      <c r="A1151" s="4"/>
      <c r="B1151" s="5"/>
    </row>
    <row r="1152" spans="1:2" x14ac:dyDescent="0.25">
      <c r="A1152" s="4"/>
      <c r="B1152" s="5"/>
    </row>
    <row r="1153" spans="1:2" ht="15.75" thickBot="1" x14ac:dyDescent="0.3">
      <c r="A1153" s="4"/>
      <c r="B1153" s="6"/>
    </row>
    <row r="1154" spans="1:2" ht="15.75" thickBot="1" x14ac:dyDescent="0.3">
      <c r="A1154" s="4"/>
      <c r="B1154" s="4"/>
    </row>
    <row r="1155" spans="1:2" ht="15.75" thickBot="1" x14ac:dyDescent="0.3">
      <c r="A1155" s="4"/>
      <c r="B1155" s="7" t="s">
        <v>681</v>
      </c>
    </row>
    <row r="1156" spans="1:2" x14ac:dyDescent="0.25">
      <c r="A1156" s="4"/>
      <c r="B1156" s="5" t="s">
        <v>420</v>
      </c>
    </row>
    <row r="1157" spans="1:2" x14ac:dyDescent="0.25">
      <c r="A1157" s="4"/>
      <c r="B1157" s="5" t="s">
        <v>158</v>
      </c>
    </row>
    <row r="1158" spans="1:2" x14ac:dyDescent="0.25">
      <c r="A1158" s="4"/>
      <c r="B1158" s="5" t="s">
        <v>159</v>
      </c>
    </row>
    <row r="1159" spans="1:2" x14ac:dyDescent="0.25">
      <c r="A1159" s="4"/>
      <c r="B1159" s="5" t="s">
        <v>220</v>
      </c>
    </row>
    <row r="1160" spans="1:2" x14ac:dyDescent="0.25">
      <c r="A1160" s="4"/>
      <c r="B1160" s="5"/>
    </row>
    <row r="1161" spans="1:2" x14ac:dyDescent="0.25">
      <c r="A1161" s="4"/>
      <c r="B1161" s="5"/>
    </row>
    <row r="1162" spans="1:2" x14ac:dyDescent="0.25">
      <c r="A1162" s="4"/>
      <c r="B1162" s="5"/>
    </row>
    <row r="1163" spans="1:2" x14ac:dyDescent="0.25">
      <c r="A1163" s="4"/>
      <c r="B1163" s="5"/>
    </row>
    <row r="1164" spans="1:2" x14ac:dyDescent="0.25">
      <c r="A1164" s="4"/>
      <c r="B1164" s="5"/>
    </row>
    <row r="1165" spans="1:2" ht="15.75" thickBot="1" x14ac:dyDescent="0.3">
      <c r="A1165" s="4"/>
      <c r="B1165" s="6"/>
    </row>
    <row r="1166" spans="1:2" ht="15.75" thickBot="1" x14ac:dyDescent="0.3">
      <c r="A1166" s="4"/>
      <c r="B1166" s="4"/>
    </row>
    <row r="1167" spans="1:2" ht="15.75" thickBot="1" x14ac:dyDescent="0.3">
      <c r="A1167" s="4"/>
      <c r="B1167" s="7" t="s">
        <v>250</v>
      </c>
    </row>
    <row r="1168" spans="1:2" x14ac:dyDescent="0.25">
      <c r="A1168" s="4"/>
      <c r="B1168" s="5" t="s">
        <v>158</v>
      </c>
    </row>
    <row r="1169" spans="1:2" x14ac:dyDescent="0.25">
      <c r="A1169" s="4"/>
      <c r="B1169" s="5" t="s">
        <v>159</v>
      </c>
    </row>
    <row r="1170" spans="1:2" x14ac:dyDescent="0.25">
      <c r="A1170" s="4"/>
      <c r="B1170" s="5" t="s">
        <v>220</v>
      </c>
    </row>
    <row r="1171" spans="1:2" x14ac:dyDescent="0.25">
      <c r="A1171" s="4"/>
      <c r="B1171" s="5" t="s">
        <v>420</v>
      </c>
    </row>
    <row r="1172" spans="1:2" x14ac:dyDescent="0.25">
      <c r="A1172" s="4"/>
      <c r="B1172" s="5"/>
    </row>
    <row r="1173" spans="1:2" x14ac:dyDescent="0.25">
      <c r="A1173" s="4"/>
      <c r="B1173" s="5"/>
    </row>
    <row r="1174" spans="1:2" x14ac:dyDescent="0.25">
      <c r="A1174" s="4"/>
      <c r="B1174" s="5"/>
    </row>
    <row r="1175" spans="1:2" x14ac:dyDescent="0.25">
      <c r="A1175" s="4"/>
      <c r="B1175" s="5"/>
    </row>
    <row r="1176" spans="1:2" x14ac:dyDescent="0.25">
      <c r="A1176" s="4"/>
      <c r="B1176" s="5"/>
    </row>
    <row r="1177" spans="1:2" ht="15.75" thickBot="1" x14ac:dyDescent="0.3">
      <c r="A1177" s="4"/>
      <c r="B1177" s="6"/>
    </row>
    <row r="1178" spans="1:2" ht="15.75" thickBot="1" x14ac:dyDescent="0.3">
      <c r="A1178" s="4"/>
      <c r="B1178" s="4"/>
    </row>
    <row r="1179" spans="1:2" ht="15.75" thickBot="1" x14ac:dyDescent="0.3">
      <c r="A1179" s="4"/>
      <c r="B1179" s="7" t="s">
        <v>667</v>
      </c>
    </row>
    <row r="1180" spans="1:2" x14ac:dyDescent="0.25">
      <c r="A1180" s="4"/>
      <c r="B1180" s="5" t="s">
        <v>420</v>
      </c>
    </row>
    <row r="1181" spans="1:2" x14ac:dyDescent="0.25">
      <c r="A1181" s="4"/>
      <c r="B1181" s="5" t="s">
        <v>158</v>
      </c>
    </row>
    <row r="1182" spans="1:2" x14ac:dyDescent="0.25">
      <c r="A1182" s="4"/>
      <c r="B1182" s="5" t="s">
        <v>159</v>
      </c>
    </row>
    <row r="1183" spans="1:2" x14ac:dyDescent="0.25">
      <c r="A1183" s="4"/>
      <c r="B1183" s="5" t="s">
        <v>220</v>
      </c>
    </row>
    <row r="1184" spans="1:2" x14ac:dyDescent="0.25">
      <c r="A1184" s="4"/>
      <c r="B1184" s="5"/>
    </row>
    <row r="1185" spans="1:2" x14ac:dyDescent="0.25">
      <c r="A1185" s="4"/>
      <c r="B1185" s="5"/>
    </row>
    <row r="1186" spans="1:2" x14ac:dyDescent="0.25">
      <c r="A1186" s="4"/>
      <c r="B1186" s="5"/>
    </row>
    <row r="1187" spans="1:2" x14ac:dyDescent="0.25">
      <c r="A1187" s="4"/>
      <c r="B1187" s="5"/>
    </row>
    <row r="1188" spans="1:2" x14ac:dyDescent="0.25">
      <c r="A1188" s="4"/>
      <c r="B1188" s="5"/>
    </row>
    <row r="1189" spans="1:2" ht="15.75" thickBot="1" x14ac:dyDescent="0.3">
      <c r="A1189" s="4"/>
      <c r="B1189" s="6"/>
    </row>
    <row r="1190" spans="1:2" ht="15.75" thickBot="1" x14ac:dyDescent="0.3">
      <c r="A1190" s="4"/>
      <c r="B1190" s="4"/>
    </row>
    <row r="1191" spans="1:2" ht="15.75" thickBot="1" x14ac:dyDescent="0.3">
      <c r="A1191" s="4"/>
      <c r="B1191" s="7" t="s">
        <v>251</v>
      </c>
    </row>
    <row r="1192" spans="1:2" x14ac:dyDescent="0.25">
      <c r="A1192" s="4"/>
      <c r="B1192" s="5" t="s">
        <v>420</v>
      </c>
    </row>
    <row r="1193" spans="1:2" x14ac:dyDescent="0.25">
      <c r="A1193" s="4"/>
      <c r="B1193" s="5" t="s">
        <v>220</v>
      </c>
    </row>
    <row r="1194" spans="1:2" x14ac:dyDescent="0.25">
      <c r="A1194" s="4"/>
      <c r="B1194" s="5"/>
    </row>
    <row r="1195" spans="1:2" x14ac:dyDescent="0.25">
      <c r="A1195" s="4"/>
      <c r="B1195" s="5"/>
    </row>
    <row r="1196" spans="1:2" x14ac:dyDescent="0.25">
      <c r="A1196" s="4"/>
      <c r="B1196" s="5"/>
    </row>
    <row r="1197" spans="1:2" x14ac:dyDescent="0.25">
      <c r="A1197" s="4"/>
      <c r="B1197" s="5"/>
    </row>
    <row r="1198" spans="1:2" x14ac:dyDescent="0.25">
      <c r="A1198" s="4"/>
      <c r="B1198" s="5"/>
    </row>
    <row r="1199" spans="1:2" x14ac:dyDescent="0.25">
      <c r="A1199" s="4"/>
      <c r="B1199" s="5"/>
    </row>
    <row r="1200" spans="1:2" x14ac:dyDescent="0.25">
      <c r="A1200" s="4"/>
      <c r="B1200" s="5"/>
    </row>
    <row r="1201" spans="1:2" ht="15.75" thickBot="1" x14ac:dyDescent="0.3">
      <c r="A1201" s="4"/>
      <c r="B1201" s="6"/>
    </row>
    <row r="1202" spans="1:2" ht="15.75" thickBot="1" x14ac:dyDescent="0.3">
      <c r="A1202" s="4"/>
      <c r="B1202" s="4"/>
    </row>
    <row r="1203" spans="1:2" ht="15.75" thickBot="1" x14ac:dyDescent="0.3">
      <c r="A1203" s="4"/>
      <c r="B1203" s="7" t="s">
        <v>252</v>
      </c>
    </row>
    <row r="1204" spans="1:2" x14ac:dyDescent="0.25">
      <c r="A1204" s="4"/>
      <c r="B1204" s="5" t="s">
        <v>420</v>
      </c>
    </row>
    <row r="1205" spans="1:2" x14ac:dyDescent="0.25">
      <c r="A1205" s="4"/>
      <c r="B1205" s="5" t="s">
        <v>158</v>
      </c>
    </row>
    <row r="1206" spans="1:2" x14ac:dyDescent="0.25">
      <c r="A1206" s="4"/>
      <c r="B1206" s="5" t="s">
        <v>159</v>
      </c>
    </row>
    <row r="1207" spans="1:2" x14ac:dyDescent="0.25">
      <c r="A1207" s="4"/>
      <c r="B1207" s="5" t="s">
        <v>220</v>
      </c>
    </row>
    <row r="1208" spans="1:2" x14ac:dyDescent="0.25">
      <c r="A1208" s="4"/>
      <c r="B1208" s="5"/>
    </row>
    <row r="1209" spans="1:2" x14ac:dyDescent="0.25">
      <c r="A1209" s="4"/>
      <c r="B1209" s="5"/>
    </row>
    <row r="1210" spans="1:2" x14ac:dyDescent="0.25">
      <c r="A1210" s="4"/>
      <c r="B1210" s="5"/>
    </row>
    <row r="1211" spans="1:2" x14ac:dyDescent="0.25">
      <c r="A1211" s="4"/>
      <c r="B1211" s="5"/>
    </row>
    <row r="1212" spans="1:2" x14ac:dyDescent="0.25">
      <c r="A1212" s="4"/>
      <c r="B1212" s="5"/>
    </row>
    <row r="1213" spans="1:2" ht="15.75" thickBot="1" x14ac:dyDescent="0.3">
      <c r="A1213" s="4"/>
      <c r="B1213" s="6"/>
    </row>
    <row r="1214" spans="1:2" ht="15.75" thickBot="1" x14ac:dyDescent="0.3">
      <c r="A1214" s="4"/>
      <c r="B1214" s="4"/>
    </row>
    <row r="1215" spans="1:2" ht="15.75" thickBot="1" x14ac:dyDescent="0.3">
      <c r="A1215" s="4"/>
      <c r="B1215" s="7" t="s">
        <v>253</v>
      </c>
    </row>
    <row r="1216" spans="1:2" x14ac:dyDescent="0.25">
      <c r="A1216" s="4"/>
      <c r="B1216" s="5" t="s">
        <v>158</v>
      </c>
    </row>
    <row r="1217" spans="1:2" x14ac:dyDescent="0.25">
      <c r="A1217" s="4"/>
      <c r="B1217" s="5" t="s">
        <v>159</v>
      </c>
    </row>
    <row r="1218" spans="1:2" x14ac:dyDescent="0.25">
      <c r="A1218" s="4"/>
      <c r="B1218" s="5" t="s">
        <v>220</v>
      </c>
    </row>
    <row r="1219" spans="1:2" x14ac:dyDescent="0.25">
      <c r="A1219" s="4"/>
      <c r="B1219" s="5"/>
    </row>
    <row r="1220" spans="1:2" x14ac:dyDescent="0.25">
      <c r="A1220" s="4"/>
      <c r="B1220" s="5"/>
    </row>
    <row r="1221" spans="1:2" x14ac:dyDescent="0.25">
      <c r="A1221" s="4"/>
      <c r="B1221" s="5"/>
    </row>
    <row r="1222" spans="1:2" x14ac:dyDescent="0.25">
      <c r="A1222" s="4"/>
      <c r="B1222" s="5"/>
    </row>
    <row r="1223" spans="1:2" x14ac:dyDescent="0.25">
      <c r="A1223" s="4"/>
      <c r="B1223" s="5"/>
    </row>
    <row r="1224" spans="1:2" x14ac:dyDescent="0.25">
      <c r="A1224" s="4"/>
      <c r="B1224" s="5"/>
    </row>
    <row r="1225" spans="1:2" ht="15.75" thickBot="1" x14ac:dyDescent="0.3">
      <c r="A1225" s="4"/>
      <c r="B1225" s="6"/>
    </row>
    <row r="1226" spans="1:2" ht="15.75" thickBot="1" x14ac:dyDescent="0.3">
      <c r="A1226" s="4"/>
      <c r="B1226" s="4"/>
    </row>
    <row r="1227" spans="1:2" ht="15.75" thickBot="1" x14ac:dyDescent="0.3">
      <c r="A1227" s="4"/>
      <c r="B1227" s="7" t="s">
        <v>254</v>
      </c>
    </row>
    <row r="1228" spans="1:2" x14ac:dyDescent="0.25">
      <c r="A1228" s="4"/>
      <c r="B1228" s="5" t="s">
        <v>220</v>
      </c>
    </row>
    <row r="1229" spans="1:2" x14ac:dyDescent="0.25">
      <c r="A1229" s="4"/>
      <c r="B1229" s="5"/>
    </row>
    <row r="1230" spans="1:2" x14ac:dyDescent="0.25">
      <c r="A1230" s="4"/>
      <c r="B1230" s="5"/>
    </row>
    <row r="1231" spans="1:2" x14ac:dyDescent="0.25">
      <c r="A1231" s="4"/>
      <c r="B1231" s="5"/>
    </row>
    <row r="1232" spans="1:2" x14ac:dyDescent="0.25">
      <c r="A1232" s="4"/>
      <c r="B1232" s="5"/>
    </row>
    <row r="1233" spans="1:2" x14ac:dyDescent="0.25">
      <c r="A1233" s="4"/>
      <c r="B1233" s="5"/>
    </row>
    <row r="1234" spans="1:2" x14ac:dyDescent="0.25">
      <c r="A1234" s="4"/>
      <c r="B1234" s="5"/>
    </row>
    <row r="1235" spans="1:2" x14ac:dyDescent="0.25">
      <c r="A1235" s="4"/>
      <c r="B1235" s="5"/>
    </row>
    <row r="1236" spans="1:2" x14ac:dyDescent="0.25">
      <c r="A1236" s="4"/>
      <c r="B1236" s="5"/>
    </row>
    <row r="1237" spans="1:2" ht="15.75" thickBot="1" x14ac:dyDescent="0.3">
      <c r="A1237" s="4"/>
      <c r="B1237" s="6"/>
    </row>
    <row r="1238" spans="1:2" ht="15.75" thickBot="1" x14ac:dyDescent="0.3">
      <c r="A1238" s="4"/>
      <c r="B1238" s="4"/>
    </row>
    <row r="1239" spans="1:2" ht="15.75" thickBot="1" x14ac:dyDescent="0.3">
      <c r="A1239" s="4"/>
      <c r="B1239" s="7" t="s">
        <v>255</v>
      </c>
    </row>
    <row r="1240" spans="1:2" x14ac:dyDescent="0.25">
      <c r="A1240" s="4"/>
      <c r="B1240" s="5" t="s">
        <v>158</v>
      </c>
    </row>
    <row r="1241" spans="1:2" x14ac:dyDescent="0.25">
      <c r="A1241" s="4"/>
      <c r="B1241" s="5" t="s">
        <v>159</v>
      </c>
    </row>
    <row r="1242" spans="1:2" x14ac:dyDescent="0.25">
      <c r="A1242" s="4"/>
      <c r="B1242" s="5" t="s">
        <v>220</v>
      </c>
    </row>
    <row r="1243" spans="1:2" x14ac:dyDescent="0.25">
      <c r="A1243" s="4"/>
      <c r="B1243" s="5"/>
    </row>
    <row r="1244" spans="1:2" x14ac:dyDescent="0.25">
      <c r="A1244" s="4"/>
      <c r="B1244" s="5"/>
    </row>
    <row r="1245" spans="1:2" x14ac:dyDescent="0.25">
      <c r="A1245" s="4"/>
      <c r="B1245" s="5"/>
    </row>
    <row r="1246" spans="1:2" x14ac:dyDescent="0.25">
      <c r="A1246" s="4"/>
      <c r="B1246" s="5"/>
    </row>
    <row r="1247" spans="1:2" x14ac:dyDescent="0.25">
      <c r="A1247" s="4"/>
      <c r="B1247" s="5"/>
    </row>
    <row r="1248" spans="1:2" x14ac:dyDescent="0.25">
      <c r="A1248" s="4"/>
      <c r="B1248" s="5"/>
    </row>
    <row r="1249" spans="1:2" ht="15.75" thickBot="1" x14ac:dyDescent="0.3">
      <c r="A1249" s="4"/>
      <c r="B1249" s="6"/>
    </row>
    <row r="1250" spans="1:2" ht="15.75" thickBot="1" x14ac:dyDescent="0.3">
      <c r="A1250" s="4"/>
      <c r="B1250" s="4"/>
    </row>
    <row r="1251" spans="1:2" ht="15.75" thickBot="1" x14ac:dyDescent="0.3">
      <c r="A1251" s="4"/>
      <c r="B1251" s="7" t="s">
        <v>256</v>
      </c>
    </row>
    <row r="1252" spans="1:2" x14ac:dyDescent="0.25">
      <c r="A1252" s="4"/>
      <c r="B1252" s="5" t="s">
        <v>158</v>
      </c>
    </row>
    <row r="1253" spans="1:2" x14ac:dyDescent="0.25">
      <c r="A1253" s="4"/>
      <c r="B1253" s="5" t="s">
        <v>159</v>
      </c>
    </row>
    <row r="1254" spans="1:2" x14ac:dyDescent="0.25">
      <c r="A1254" s="4"/>
      <c r="B1254" s="5" t="s">
        <v>220</v>
      </c>
    </row>
    <row r="1255" spans="1:2" x14ac:dyDescent="0.25">
      <c r="A1255" s="4"/>
      <c r="B1255" s="5"/>
    </row>
    <row r="1256" spans="1:2" x14ac:dyDescent="0.25">
      <c r="A1256" s="4"/>
      <c r="B1256" s="5"/>
    </row>
    <row r="1257" spans="1:2" x14ac:dyDescent="0.25">
      <c r="A1257" s="4"/>
      <c r="B1257" s="5"/>
    </row>
    <row r="1258" spans="1:2" x14ac:dyDescent="0.25">
      <c r="A1258" s="4"/>
      <c r="B1258" s="5"/>
    </row>
    <row r="1259" spans="1:2" x14ac:dyDescent="0.25">
      <c r="A1259" s="4"/>
      <c r="B1259" s="5"/>
    </row>
    <row r="1260" spans="1:2" x14ac:dyDescent="0.25">
      <c r="A1260" s="4"/>
      <c r="B1260" s="5"/>
    </row>
    <row r="1261" spans="1:2" ht="15.75" thickBot="1" x14ac:dyDescent="0.3">
      <c r="A1261" s="4"/>
      <c r="B1261" s="6"/>
    </row>
    <row r="1262" spans="1:2" ht="15.75" thickBot="1" x14ac:dyDescent="0.3">
      <c r="A1262" s="4"/>
      <c r="B1262" s="4"/>
    </row>
    <row r="1263" spans="1:2" ht="15.75" thickBot="1" x14ac:dyDescent="0.3">
      <c r="A1263" s="4"/>
      <c r="B1263" s="7" t="s">
        <v>257</v>
      </c>
    </row>
    <row r="1264" spans="1:2" x14ac:dyDescent="0.25">
      <c r="A1264" s="4"/>
      <c r="B1264" s="5" t="s">
        <v>158</v>
      </c>
    </row>
    <row r="1265" spans="1:2" x14ac:dyDescent="0.25">
      <c r="A1265" s="4"/>
      <c r="B1265" s="5" t="s">
        <v>159</v>
      </c>
    </row>
    <row r="1266" spans="1:2" x14ac:dyDescent="0.25">
      <c r="A1266" s="4"/>
      <c r="B1266" s="5" t="s">
        <v>220</v>
      </c>
    </row>
    <row r="1267" spans="1:2" x14ac:dyDescent="0.25">
      <c r="A1267" s="4"/>
      <c r="B1267" s="5"/>
    </row>
    <row r="1268" spans="1:2" x14ac:dyDescent="0.25">
      <c r="A1268" s="4"/>
      <c r="B1268" s="5"/>
    </row>
    <row r="1269" spans="1:2" x14ac:dyDescent="0.25">
      <c r="A1269" s="4"/>
      <c r="B1269" s="5"/>
    </row>
    <row r="1270" spans="1:2" x14ac:dyDescent="0.25">
      <c r="A1270" s="4"/>
      <c r="B1270" s="5"/>
    </row>
    <row r="1271" spans="1:2" x14ac:dyDescent="0.25">
      <c r="A1271" s="4"/>
      <c r="B1271" s="5"/>
    </row>
    <row r="1272" spans="1:2" x14ac:dyDescent="0.25">
      <c r="A1272" s="4"/>
      <c r="B1272" s="5"/>
    </row>
    <row r="1273" spans="1:2" ht="15.75" thickBot="1" x14ac:dyDescent="0.3">
      <c r="A1273" s="4"/>
      <c r="B1273" s="6"/>
    </row>
    <row r="1274" spans="1:2" ht="15.75" thickBot="1" x14ac:dyDescent="0.3">
      <c r="A1274" s="4"/>
      <c r="B1274" s="4"/>
    </row>
    <row r="1275" spans="1:2" ht="15.75" thickBot="1" x14ac:dyDescent="0.3">
      <c r="A1275" s="4"/>
      <c r="B1275" s="7" t="s">
        <v>258</v>
      </c>
    </row>
    <row r="1276" spans="1:2" x14ac:dyDescent="0.25">
      <c r="A1276" s="4"/>
      <c r="B1276" s="5" t="s">
        <v>220</v>
      </c>
    </row>
    <row r="1277" spans="1:2" x14ac:dyDescent="0.25">
      <c r="A1277" s="4"/>
      <c r="B1277" s="5"/>
    </row>
    <row r="1278" spans="1:2" x14ac:dyDescent="0.25">
      <c r="A1278" s="4"/>
      <c r="B1278" s="5"/>
    </row>
    <row r="1279" spans="1:2" x14ac:dyDescent="0.25">
      <c r="A1279" s="4"/>
      <c r="B1279" s="5"/>
    </row>
    <row r="1280" spans="1:2" x14ac:dyDescent="0.25">
      <c r="A1280" s="4"/>
      <c r="B1280" s="5"/>
    </row>
    <row r="1281" spans="1:2" x14ac:dyDescent="0.25">
      <c r="A1281" s="4"/>
      <c r="B1281" s="5"/>
    </row>
    <row r="1282" spans="1:2" x14ac:dyDescent="0.25">
      <c r="A1282" s="4"/>
      <c r="B1282" s="5"/>
    </row>
    <row r="1283" spans="1:2" x14ac:dyDescent="0.25">
      <c r="A1283" s="4"/>
      <c r="B1283" s="5"/>
    </row>
    <row r="1284" spans="1:2" x14ac:dyDescent="0.25">
      <c r="A1284" s="4"/>
      <c r="B1284" s="5"/>
    </row>
    <row r="1285" spans="1:2" ht="15.75" thickBot="1" x14ac:dyDescent="0.3">
      <c r="A1285" s="4"/>
      <c r="B1285" s="6"/>
    </row>
    <row r="1286" spans="1:2" ht="15.75" thickBot="1" x14ac:dyDescent="0.3">
      <c r="A1286" s="4"/>
      <c r="B1286" s="4"/>
    </row>
    <row r="1287" spans="1:2" ht="15.75" thickBot="1" x14ac:dyDescent="0.3">
      <c r="A1287" s="4"/>
      <c r="B1287" s="7" t="s">
        <v>259</v>
      </c>
    </row>
    <row r="1288" spans="1:2" x14ac:dyDescent="0.25">
      <c r="A1288" s="4"/>
      <c r="B1288" s="5" t="s">
        <v>158</v>
      </c>
    </row>
    <row r="1289" spans="1:2" x14ac:dyDescent="0.25">
      <c r="A1289" s="4"/>
      <c r="B1289" s="5" t="s">
        <v>159</v>
      </c>
    </row>
    <row r="1290" spans="1:2" x14ac:dyDescent="0.25">
      <c r="A1290" s="4"/>
      <c r="B1290" s="5" t="s">
        <v>220</v>
      </c>
    </row>
    <row r="1291" spans="1:2" x14ac:dyDescent="0.25">
      <c r="A1291" s="4"/>
      <c r="B1291" s="5"/>
    </row>
    <row r="1292" spans="1:2" x14ac:dyDescent="0.25">
      <c r="A1292" s="4"/>
      <c r="B1292" s="5"/>
    </row>
    <row r="1293" spans="1:2" x14ac:dyDescent="0.25">
      <c r="A1293" s="4"/>
      <c r="B1293" s="5"/>
    </row>
    <row r="1294" spans="1:2" x14ac:dyDescent="0.25">
      <c r="A1294" s="4"/>
      <c r="B1294" s="5"/>
    </row>
    <row r="1295" spans="1:2" x14ac:dyDescent="0.25">
      <c r="A1295" s="4"/>
      <c r="B1295" s="5"/>
    </row>
    <row r="1296" spans="1:2" x14ac:dyDescent="0.25">
      <c r="A1296" s="4"/>
      <c r="B1296" s="5"/>
    </row>
    <row r="1297" spans="1:2" ht="15.75" thickBot="1" x14ac:dyDescent="0.3">
      <c r="A1297" s="4"/>
      <c r="B1297" s="6"/>
    </row>
    <row r="1298" spans="1:2" ht="15.75" thickBot="1" x14ac:dyDescent="0.3">
      <c r="A1298" s="4"/>
      <c r="B1298" s="4"/>
    </row>
    <row r="1299" spans="1:2" ht="15.75" thickBot="1" x14ac:dyDescent="0.3">
      <c r="A1299" s="4"/>
      <c r="B1299" s="7" t="s">
        <v>260</v>
      </c>
    </row>
    <row r="1300" spans="1:2" x14ac:dyDescent="0.25">
      <c r="A1300" s="4"/>
      <c r="B1300" s="5" t="s">
        <v>157</v>
      </c>
    </row>
    <row r="1301" spans="1:2" x14ac:dyDescent="0.25">
      <c r="A1301" s="4"/>
      <c r="B1301" s="5" t="s">
        <v>158</v>
      </c>
    </row>
    <row r="1302" spans="1:2" x14ac:dyDescent="0.25">
      <c r="A1302" s="4"/>
      <c r="B1302" s="5" t="s">
        <v>159</v>
      </c>
    </row>
    <row r="1303" spans="1:2" x14ac:dyDescent="0.25">
      <c r="A1303" s="4"/>
      <c r="B1303" s="5" t="s">
        <v>220</v>
      </c>
    </row>
    <row r="1304" spans="1:2" x14ac:dyDescent="0.25">
      <c r="A1304" s="4"/>
      <c r="B1304" s="5" t="s">
        <v>164</v>
      </c>
    </row>
    <row r="1305" spans="1:2" x14ac:dyDescent="0.25">
      <c r="A1305" s="4"/>
      <c r="B1305" s="5" t="s">
        <v>421</v>
      </c>
    </row>
    <row r="1306" spans="1:2" x14ac:dyDescent="0.25">
      <c r="A1306" s="4"/>
      <c r="B1306" s="5"/>
    </row>
    <row r="1307" spans="1:2" x14ac:dyDescent="0.25">
      <c r="A1307" s="4"/>
      <c r="B1307" s="5"/>
    </row>
    <row r="1308" spans="1:2" x14ac:dyDescent="0.25">
      <c r="A1308" s="4"/>
      <c r="B1308" s="5"/>
    </row>
    <row r="1309" spans="1:2" ht="15.75" thickBot="1" x14ac:dyDescent="0.3">
      <c r="A1309" s="4"/>
      <c r="B1309" s="6"/>
    </row>
    <row r="1310" spans="1:2" ht="15.75" thickBot="1" x14ac:dyDescent="0.3">
      <c r="A1310" s="4"/>
      <c r="B1310" s="4"/>
    </row>
    <row r="1311" spans="1:2" ht="15.75" thickBot="1" x14ac:dyDescent="0.3">
      <c r="A1311" s="4"/>
      <c r="B1311" s="7" t="s">
        <v>261</v>
      </c>
    </row>
    <row r="1312" spans="1:2" x14ac:dyDescent="0.25">
      <c r="A1312" s="4"/>
      <c r="B1312" s="5" t="s">
        <v>421</v>
      </c>
    </row>
    <row r="1313" spans="1:2" x14ac:dyDescent="0.25">
      <c r="A1313" s="4"/>
      <c r="B1313" s="5" t="s">
        <v>220</v>
      </c>
    </row>
    <row r="1314" spans="1:2" x14ac:dyDescent="0.25">
      <c r="A1314" s="4"/>
      <c r="B1314" s="5" t="s">
        <v>164</v>
      </c>
    </row>
    <row r="1315" spans="1:2" x14ac:dyDescent="0.25">
      <c r="A1315" s="4"/>
      <c r="B1315" s="5"/>
    </row>
    <row r="1316" spans="1:2" x14ac:dyDescent="0.25">
      <c r="A1316" s="4"/>
      <c r="B1316" s="5"/>
    </row>
    <row r="1317" spans="1:2" x14ac:dyDescent="0.25">
      <c r="A1317" s="4"/>
      <c r="B1317" s="5"/>
    </row>
    <row r="1318" spans="1:2" x14ac:dyDescent="0.25">
      <c r="A1318" s="4"/>
      <c r="B1318" s="5"/>
    </row>
    <row r="1319" spans="1:2" x14ac:dyDescent="0.25">
      <c r="A1319" s="4"/>
      <c r="B1319" s="5"/>
    </row>
    <row r="1320" spans="1:2" x14ac:dyDescent="0.25">
      <c r="A1320" s="4"/>
      <c r="B1320" s="5"/>
    </row>
    <row r="1321" spans="1:2" ht="15.75" thickBot="1" x14ac:dyDescent="0.3">
      <c r="A1321" s="4"/>
      <c r="B1321" s="6"/>
    </row>
    <row r="1322" spans="1:2" ht="15.75" thickBot="1" x14ac:dyDescent="0.3">
      <c r="A1322" s="4"/>
      <c r="B1322" s="4"/>
    </row>
    <row r="1323" spans="1:2" ht="15.75" thickBot="1" x14ac:dyDescent="0.3">
      <c r="A1323" s="4"/>
      <c r="B1323" s="7" t="s">
        <v>682</v>
      </c>
    </row>
    <row r="1324" spans="1:2" x14ac:dyDescent="0.25">
      <c r="A1324" s="4"/>
      <c r="B1324" s="5" t="s">
        <v>157</v>
      </c>
    </row>
    <row r="1325" spans="1:2" x14ac:dyDescent="0.25">
      <c r="A1325" s="4"/>
      <c r="B1325" s="5" t="s">
        <v>158</v>
      </c>
    </row>
    <row r="1326" spans="1:2" x14ac:dyDescent="0.25">
      <c r="A1326" s="4"/>
      <c r="B1326" s="5" t="s">
        <v>159</v>
      </c>
    </row>
    <row r="1327" spans="1:2" x14ac:dyDescent="0.25">
      <c r="A1327" s="4"/>
      <c r="B1327" s="5" t="s">
        <v>220</v>
      </c>
    </row>
    <row r="1328" spans="1:2" x14ac:dyDescent="0.25">
      <c r="A1328" s="4"/>
      <c r="B1328" s="5" t="s">
        <v>164</v>
      </c>
    </row>
    <row r="1329" spans="1:2" x14ac:dyDescent="0.25">
      <c r="A1329" s="4"/>
      <c r="B1329" s="5" t="s">
        <v>421</v>
      </c>
    </row>
    <row r="1330" spans="1:2" x14ac:dyDescent="0.25">
      <c r="A1330" s="4"/>
      <c r="B1330" s="5"/>
    </row>
    <row r="1331" spans="1:2" x14ac:dyDescent="0.25">
      <c r="A1331" s="4"/>
      <c r="B1331" s="5"/>
    </row>
    <row r="1332" spans="1:2" x14ac:dyDescent="0.25">
      <c r="A1332" s="4"/>
      <c r="B1332" s="5"/>
    </row>
    <row r="1333" spans="1:2" ht="15.75" thickBot="1" x14ac:dyDescent="0.3">
      <c r="A1333" s="4"/>
      <c r="B1333" s="6"/>
    </row>
    <row r="1334" spans="1:2" ht="15.75" thickBot="1" x14ac:dyDescent="0.3">
      <c r="A1334" s="4"/>
      <c r="B1334" s="4"/>
    </row>
    <row r="1335" spans="1:2" ht="15.75" thickBot="1" x14ac:dyDescent="0.3">
      <c r="A1335" s="4"/>
      <c r="B1335" s="7" t="s">
        <v>262</v>
      </c>
    </row>
    <row r="1336" spans="1:2" x14ac:dyDescent="0.25">
      <c r="A1336" s="4"/>
      <c r="B1336" s="5" t="s">
        <v>157</v>
      </c>
    </row>
    <row r="1337" spans="1:2" x14ac:dyDescent="0.25">
      <c r="A1337" s="4"/>
      <c r="B1337" s="5" t="s">
        <v>158</v>
      </c>
    </row>
    <row r="1338" spans="1:2" x14ac:dyDescent="0.25">
      <c r="A1338" s="4"/>
      <c r="B1338" s="5" t="s">
        <v>159</v>
      </c>
    </row>
    <row r="1339" spans="1:2" x14ac:dyDescent="0.25">
      <c r="A1339" s="4"/>
      <c r="B1339" s="5" t="s">
        <v>220</v>
      </c>
    </row>
    <row r="1340" spans="1:2" x14ac:dyDescent="0.25">
      <c r="A1340" s="4"/>
      <c r="B1340" s="5" t="s">
        <v>164</v>
      </c>
    </row>
    <row r="1341" spans="1:2" x14ac:dyDescent="0.25">
      <c r="A1341" s="4"/>
      <c r="B1341" s="5" t="s">
        <v>421</v>
      </c>
    </row>
    <row r="1342" spans="1:2" x14ac:dyDescent="0.25">
      <c r="A1342" s="4"/>
      <c r="B1342" s="5"/>
    </row>
    <row r="1343" spans="1:2" x14ac:dyDescent="0.25">
      <c r="A1343" s="4"/>
      <c r="B1343" s="5"/>
    </row>
    <row r="1344" spans="1:2" x14ac:dyDescent="0.25">
      <c r="A1344" s="4"/>
      <c r="B1344" s="5"/>
    </row>
    <row r="1345" spans="1:2" ht="15.75" thickBot="1" x14ac:dyDescent="0.3">
      <c r="A1345" s="4"/>
      <c r="B1345" s="6"/>
    </row>
    <row r="1346" spans="1:2" ht="15.75" thickBot="1" x14ac:dyDescent="0.3">
      <c r="A1346" s="4"/>
      <c r="B1346" s="4"/>
    </row>
    <row r="1347" spans="1:2" ht="15.75" thickBot="1" x14ac:dyDescent="0.3">
      <c r="A1347" s="4"/>
      <c r="B1347" s="7" t="s">
        <v>263</v>
      </c>
    </row>
    <row r="1348" spans="1:2" x14ac:dyDescent="0.25">
      <c r="A1348" s="4"/>
      <c r="B1348" s="5" t="s">
        <v>157</v>
      </c>
    </row>
    <row r="1349" spans="1:2" x14ac:dyDescent="0.25">
      <c r="A1349" s="4"/>
      <c r="B1349" s="5" t="s">
        <v>158</v>
      </c>
    </row>
    <row r="1350" spans="1:2" x14ac:dyDescent="0.25">
      <c r="A1350" s="4"/>
      <c r="B1350" s="5" t="s">
        <v>159</v>
      </c>
    </row>
    <row r="1351" spans="1:2" x14ac:dyDescent="0.25">
      <c r="A1351" s="4"/>
      <c r="B1351" s="5" t="s">
        <v>220</v>
      </c>
    </row>
    <row r="1352" spans="1:2" x14ac:dyDescent="0.25">
      <c r="A1352" s="4"/>
      <c r="B1352" s="5" t="s">
        <v>164</v>
      </c>
    </row>
    <row r="1353" spans="1:2" x14ac:dyDescent="0.25">
      <c r="A1353" s="4"/>
      <c r="B1353" s="5" t="s">
        <v>421</v>
      </c>
    </row>
    <row r="1354" spans="1:2" x14ac:dyDescent="0.25">
      <c r="A1354" s="4"/>
      <c r="B1354" s="5"/>
    </row>
    <row r="1355" spans="1:2" x14ac:dyDescent="0.25">
      <c r="A1355" s="4"/>
      <c r="B1355" s="5"/>
    </row>
    <row r="1356" spans="1:2" x14ac:dyDescent="0.25">
      <c r="A1356" s="4"/>
      <c r="B1356" s="5"/>
    </row>
    <row r="1357" spans="1:2" ht="15.75" thickBot="1" x14ac:dyDescent="0.3">
      <c r="A1357" s="4"/>
      <c r="B1357" s="6"/>
    </row>
    <row r="1358" spans="1:2" ht="15.75" thickBot="1" x14ac:dyDescent="0.3">
      <c r="A1358" s="4"/>
      <c r="B1358" s="4"/>
    </row>
    <row r="1359" spans="1:2" ht="15.75" thickBot="1" x14ac:dyDescent="0.3">
      <c r="A1359" s="4"/>
      <c r="B1359" s="7" t="s">
        <v>264</v>
      </c>
    </row>
    <row r="1360" spans="1:2" x14ac:dyDescent="0.25">
      <c r="A1360" s="4"/>
      <c r="B1360" s="5" t="s">
        <v>421</v>
      </c>
    </row>
    <row r="1361" spans="1:2" x14ac:dyDescent="0.25">
      <c r="A1361" s="4"/>
      <c r="B1361" s="5" t="s">
        <v>220</v>
      </c>
    </row>
    <row r="1362" spans="1:2" x14ac:dyDescent="0.25">
      <c r="A1362" s="4"/>
      <c r="B1362" s="5" t="s">
        <v>164</v>
      </c>
    </row>
    <row r="1363" spans="1:2" x14ac:dyDescent="0.25">
      <c r="A1363" s="4"/>
      <c r="B1363" s="5"/>
    </row>
    <row r="1364" spans="1:2" x14ac:dyDescent="0.25">
      <c r="A1364" s="4"/>
      <c r="B1364" s="5"/>
    </row>
    <row r="1365" spans="1:2" x14ac:dyDescent="0.25">
      <c r="A1365" s="4"/>
      <c r="B1365" s="5"/>
    </row>
    <row r="1366" spans="1:2" x14ac:dyDescent="0.25">
      <c r="A1366" s="4"/>
      <c r="B1366" s="5"/>
    </row>
    <row r="1367" spans="1:2" x14ac:dyDescent="0.25">
      <c r="A1367" s="4"/>
      <c r="B1367" s="5"/>
    </row>
    <row r="1368" spans="1:2" x14ac:dyDescent="0.25">
      <c r="A1368" s="4"/>
      <c r="B1368" s="5"/>
    </row>
    <row r="1369" spans="1:2" ht="15.75" thickBot="1" x14ac:dyDescent="0.3">
      <c r="A1369" s="4"/>
      <c r="B1369" s="6"/>
    </row>
    <row r="1370" spans="1:2" ht="15.75" thickBot="1" x14ac:dyDescent="0.3">
      <c r="A1370" s="4"/>
      <c r="B1370" s="4"/>
    </row>
    <row r="1371" spans="1:2" ht="15.75" thickBot="1" x14ac:dyDescent="0.3">
      <c r="A1371" s="4"/>
      <c r="B1371" s="7" t="s">
        <v>265</v>
      </c>
    </row>
    <row r="1372" spans="1:2" x14ac:dyDescent="0.25">
      <c r="A1372" s="4"/>
      <c r="B1372" s="5" t="s">
        <v>157</v>
      </c>
    </row>
    <row r="1373" spans="1:2" x14ac:dyDescent="0.25">
      <c r="A1373" s="4"/>
      <c r="B1373" s="5" t="s">
        <v>158</v>
      </c>
    </row>
    <row r="1374" spans="1:2" x14ac:dyDescent="0.25">
      <c r="A1374" s="4"/>
      <c r="B1374" s="5" t="s">
        <v>159</v>
      </c>
    </row>
    <row r="1375" spans="1:2" x14ac:dyDescent="0.25">
      <c r="A1375" s="4"/>
      <c r="B1375" s="5" t="s">
        <v>220</v>
      </c>
    </row>
    <row r="1376" spans="1:2" x14ac:dyDescent="0.25">
      <c r="A1376" s="4"/>
      <c r="B1376" s="5" t="s">
        <v>164</v>
      </c>
    </row>
    <row r="1377" spans="1:2" x14ac:dyDescent="0.25">
      <c r="A1377" s="4"/>
      <c r="B1377" s="5" t="s">
        <v>421</v>
      </c>
    </row>
    <row r="1378" spans="1:2" x14ac:dyDescent="0.25">
      <c r="A1378" s="4"/>
      <c r="B1378" s="5"/>
    </row>
    <row r="1379" spans="1:2" x14ac:dyDescent="0.25">
      <c r="A1379" s="4"/>
      <c r="B1379" s="5"/>
    </row>
    <row r="1380" spans="1:2" x14ac:dyDescent="0.25">
      <c r="A1380" s="4"/>
      <c r="B1380" s="5"/>
    </row>
    <row r="1381" spans="1:2" ht="15.75" thickBot="1" x14ac:dyDescent="0.3">
      <c r="A1381" s="4"/>
      <c r="B1381" s="6"/>
    </row>
    <row r="1382" spans="1:2" ht="15.75" thickBot="1" x14ac:dyDescent="0.3">
      <c r="A1382" s="4"/>
      <c r="B1382" s="4"/>
    </row>
    <row r="1383" spans="1:2" ht="15.75" thickBot="1" x14ac:dyDescent="0.3">
      <c r="A1383" s="4"/>
      <c r="B1383" s="7" t="s">
        <v>266</v>
      </c>
    </row>
    <row r="1384" spans="1:2" x14ac:dyDescent="0.25">
      <c r="A1384" s="4"/>
      <c r="B1384" s="5" t="s">
        <v>158</v>
      </c>
    </row>
    <row r="1385" spans="1:2" x14ac:dyDescent="0.25">
      <c r="A1385" s="4"/>
      <c r="B1385" s="5" t="s">
        <v>159</v>
      </c>
    </row>
    <row r="1386" spans="1:2" x14ac:dyDescent="0.25">
      <c r="A1386" s="4"/>
      <c r="B1386" s="5" t="s">
        <v>220</v>
      </c>
    </row>
    <row r="1387" spans="1:2" x14ac:dyDescent="0.25">
      <c r="A1387" s="4"/>
      <c r="B1387" s="5" t="s">
        <v>164</v>
      </c>
    </row>
    <row r="1388" spans="1:2" x14ac:dyDescent="0.25">
      <c r="A1388" s="4"/>
      <c r="B1388" s="5" t="s">
        <v>153</v>
      </c>
    </row>
    <row r="1389" spans="1:2" x14ac:dyDescent="0.25">
      <c r="A1389" s="4"/>
      <c r="B1389" s="5" t="s">
        <v>154</v>
      </c>
    </row>
    <row r="1390" spans="1:2" x14ac:dyDescent="0.25">
      <c r="A1390" s="4"/>
      <c r="B1390" s="5"/>
    </row>
    <row r="1391" spans="1:2" x14ac:dyDescent="0.25">
      <c r="A1391" s="4"/>
      <c r="B1391" s="5"/>
    </row>
    <row r="1392" spans="1:2" x14ac:dyDescent="0.25">
      <c r="A1392" s="4"/>
      <c r="B1392" s="5"/>
    </row>
    <row r="1393" spans="1:2" ht="15.75" thickBot="1" x14ac:dyDescent="0.3">
      <c r="A1393" s="4"/>
      <c r="B1393" s="6"/>
    </row>
    <row r="1394" spans="1:2" ht="15.75" thickBot="1" x14ac:dyDescent="0.3">
      <c r="A1394" s="4"/>
      <c r="B1394" s="4"/>
    </row>
    <row r="1395" spans="1:2" ht="15.75" thickBot="1" x14ac:dyDescent="0.3">
      <c r="A1395" s="4"/>
      <c r="B1395" s="7" t="s">
        <v>267</v>
      </c>
    </row>
    <row r="1396" spans="1:2" x14ac:dyDescent="0.25">
      <c r="A1396" s="4"/>
      <c r="B1396" s="5" t="s">
        <v>220</v>
      </c>
    </row>
    <row r="1397" spans="1:2" x14ac:dyDescent="0.25">
      <c r="A1397" s="4"/>
      <c r="B1397" s="5" t="s">
        <v>164</v>
      </c>
    </row>
    <row r="1398" spans="1:2" x14ac:dyDescent="0.25">
      <c r="A1398" s="4"/>
      <c r="B1398" s="5"/>
    </row>
    <row r="1399" spans="1:2" x14ac:dyDescent="0.25">
      <c r="A1399" s="4"/>
      <c r="B1399" s="5"/>
    </row>
    <row r="1400" spans="1:2" x14ac:dyDescent="0.25">
      <c r="A1400" s="4"/>
      <c r="B1400" s="5"/>
    </row>
    <row r="1401" spans="1:2" x14ac:dyDescent="0.25">
      <c r="A1401" s="4"/>
      <c r="B1401" s="5"/>
    </row>
    <row r="1402" spans="1:2" x14ac:dyDescent="0.25">
      <c r="A1402" s="4"/>
      <c r="B1402" s="5"/>
    </row>
    <row r="1403" spans="1:2" x14ac:dyDescent="0.25">
      <c r="A1403" s="4"/>
      <c r="B1403" s="5"/>
    </row>
    <row r="1404" spans="1:2" x14ac:dyDescent="0.25">
      <c r="A1404" s="4"/>
      <c r="B1404" s="5"/>
    </row>
    <row r="1405" spans="1:2" ht="15.75" thickBot="1" x14ac:dyDescent="0.3">
      <c r="A1405" s="4"/>
      <c r="B1405" s="6"/>
    </row>
    <row r="1406" spans="1:2" ht="15.75" thickBot="1" x14ac:dyDescent="0.3">
      <c r="A1406" s="4"/>
      <c r="B1406" s="4"/>
    </row>
    <row r="1407" spans="1:2" ht="15.75" thickBot="1" x14ac:dyDescent="0.3">
      <c r="A1407" s="4"/>
      <c r="B1407" s="7" t="s">
        <v>683</v>
      </c>
    </row>
    <row r="1408" spans="1:2" x14ac:dyDescent="0.25">
      <c r="A1408" s="4"/>
      <c r="B1408" s="5" t="s">
        <v>220</v>
      </c>
    </row>
    <row r="1409" spans="1:2" x14ac:dyDescent="0.25">
      <c r="A1409" s="4"/>
      <c r="B1409" s="5" t="s">
        <v>164</v>
      </c>
    </row>
    <row r="1410" spans="1:2" x14ac:dyDescent="0.25">
      <c r="A1410" s="4"/>
      <c r="B1410" s="5" t="s">
        <v>153</v>
      </c>
    </row>
    <row r="1411" spans="1:2" x14ac:dyDescent="0.25">
      <c r="A1411" s="4"/>
      <c r="B1411" s="5" t="s">
        <v>154</v>
      </c>
    </row>
    <row r="1412" spans="1:2" x14ac:dyDescent="0.25">
      <c r="A1412" s="4"/>
      <c r="B1412" s="5"/>
    </row>
    <row r="1413" spans="1:2" x14ac:dyDescent="0.25">
      <c r="A1413" s="4"/>
      <c r="B1413" s="5"/>
    </row>
    <row r="1414" spans="1:2" x14ac:dyDescent="0.25">
      <c r="A1414" s="4"/>
      <c r="B1414" s="5"/>
    </row>
    <row r="1415" spans="1:2" x14ac:dyDescent="0.25">
      <c r="A1415" s="4"/>
      <c r="B1415" s="5"/>
    </row>
    <row r="1416" spans="1:2" x14ac:dyDescent="0.25">
      <c r="A1416" s="4"/>
      <c r="B1416" s="5"/>
    </row>
    <row r="1417" spans="1:2" ht="15.75" thickBot="1" x14ac:dyDescent="0.3">
      <c r="A1417" s="4"/>
      <c r="B1417" s="6"/>
    </row>
    <row r="1418" spans="1:2" ht="15.75" thickBot="1" x14ac:dyDescent="0.3">
      <c r="A1418" s="4"/>
      <c r="B1418" s="4"/>
    </row>
    <row r="1419" spans="1:2" ht="15.75" thickBot="1" x14ac:dyDescent="0.3">
      <c r="A1419" s="4"/>
      <c r="B1419" s="7" t="s">
        <v>268</v>
      </c>
    </row>
    <row r="1420" spans="1:2" x14ac:dyDescent="0.25">
      <c r="A1420" s="4"/>
      <c r="B1420" s="5" t="s">
        <v>220</v>
      </c>
    </row>
    <row r="1421" spans="1:2" x14ac:dyDescent="0.25">
      <c r="A1421" s="4"/>
      <c r="B1421" s="5" t="s">
        <v>164</v>
      </c>
    </row>
    <row r="1422" spans="1:2" x14ac:dyDescent="0.25">
      <c r="A1422" s="4"/>
      <c r="B1422" s="5" t="s">
        <v>153</v>
      </c>
    </row>
    <row r="1423" spans="1:2" x14ac:dyDescent="0.25">
      <c r="A1423" s="4"/>
      <c r="B1423" s="5" t="s">
        <v>154</v>
      </c>
    </row>
    <row r="1424" spans="1:2" x14ac:dyDescent="0.25">
      <c r="A1424" s="4"/>
      <c r="B1424" s="5"/>
    </row>
    <row r="1425" spans="1:2" x14ac:dyDescent="0.25">
      <c r="A1425" s="4"/>
      <c r="B1425" s="5"/>
    </row>
    <row r="1426" spans="1:2" x14ac:dyDescent="0.25">
      <c r="A1426" s="4"/>
      <c r="B1426" s="5"/>
    </row>
    <row r="1427" spans="1:2" x14ac:dyDescent="0.25">
      <c r="A1427" s="4"/>
      <c r="B1427" s="5"/>
    </row>
    <row r="1428" spans="1:2" x14ac:dyDescent="0.25">
      <c r="A1428" s="4"/>
      <c r="B1428" s="5"/>
    </row>
    <row r="1429" spans="1:2" ht="15.75" thickBot="1" x14ac:dyDescent="0.3">
      <c r="A1429" s="4"/>
      <c r="B1429" s="6"/>
    </row>
    <row r="1430" spans="1:2" ht="15.75" thickBot="1" x14ac:dyDescent="0.3">
      <c r="A1430" s="4"/>
      <c r="B1430" s="4"/>
    </row>
    <row r="1431" spans="1:2" ht="15.75" thickBot="1" x14ac:dyDescent="0.3">
      <c r="A1431" s="4"/>
      <c r="B1431" s="7" t="s">
        <v>668</v>
      </c>
    </row>
    <row r="1432" spans="1:2" x14ac:dyDescent="0.25">
      <c r="A1432" s="4"/>
      <c r="B1432" s="5" t="s">
        <v>158</v>
      </c>
    </row>
    <row r="1433" spans="1:2" x14ac:dyDescent="0.25">
      <c r="A1433" s="4"/>
      <c r="B1433" s="5" t="s">
        <v>159</v>
      </c>
    </row>
    <row r="1434" spans="1:2" x14ac:dyDescent="0.25">
      <c r="A1434" s="4"/>
      <c r="B1434" s="5" t="s">
        <v>220</v>
      </c>
    </row>
    <row r="1435" spans="1:2" x14ac:dyDescent="0.25">
      <c r="A1435" s="4"/>
      <c r="B1435" s="5" t="s">
        <v>164</v>
      </c>
    </row>
    <row r="1436" spans="1:2" x14ac:dyDescent="0.25">
      <c r="A1436" s="4"/>
      <c r="B1436" s="5" t="s">
        <v>153</v>
      </c>
    </row>
    <row r="1437" spans="1:2" x14ac:dyDescent="0.25">
      <c r="A1437" s="4"/>
      <c r="B1437" s="5" t="s">
        <v>154</v>
      </c>
    </row>
    <row r="1438" spans="1:2" x14ac:dyDescent="0.25">
      <c r="A1438" s="4"/>
      <c r="B1438" s="5"/>
    </row>
    <row r="1439" spans="1:2" x14ac:dyDescent="0.25">
      <c r="A1439" s="4"/>
      <c r="B1439" s="5"/>
    </row>
    <row r="1440" spans="1:2" x14ac:dyDescent="0.25">
      <c r="A1440" s="4"/>
      <c r="B1440" s="5"/>
    </row>
    <row r="1441" spans="1:2" ht="15.75" thickBot="1" x14ac:dyDescent="0.3">
      <c r="A1441" s="4"/>
      <c r="B1441" s="6"/>
    </row>
    <row r="1442" spans="1:2" ht="15.75" thickBot="1" x14ac:dyDescent="0.3">
      <c r="A1442" s="4"/>
      <c r="B1442" s="4"/>
    </row>
    <row r="1443" spans="1:2" ht="15.75" thickBot="1" x14ac:dyDescent="0.3">
      <c r="A1443" s="4"/>
      <c r="B1443" s="7" t="s">
        <v>269</v>
      </c>
    </row>
    <row r="1444" spans="1:2" x14ac:dyDescent="0.25">
      <c r="A1444" s="4"/>
      <c r="B1444" s="5" t="s">
        <v>220</v>
      </c>
    </row>
    <row r="1445" spans="1:2" x14ac:dyDescent="0.25">
      <c r="A1445" s="4"/>
      <c r="B1445" s="5" t="s">
        <v>164</v>
      </c>
    </row>
    <row r="1446" spans="1:2" x14ac:dyDescent="0.25">
      <c r="A1446" s="4"/>
      <c r="B1446" s="5" t="s">
        <v>153</v>
      </c>
    </row>
    <row r="1447" spans="1:2" x14ac:dyDescent="0.25">
      <c r="A1447" s="4"/>
      <c r="B1447" s="5" t="s">
        <v>154</v>
      </c>
    </row>
    <row r="1448" spans="1:2" x14ac:dyDescent="0.25">
      <c r="A1448" s="4"/>
      <c r="B1448" s="5"/>
    </row>
    <row r="1449" spans="1:2" x14ac:dyDescent="0.25">
      <c r="A1449" s="4"/>
      <c r="B1449" s="5"/>
    </row>
    <row r="1450" spans="1:2" x14ac:dyDescent="0.25">
      <c r="A1450" s="4"/>
      <c r="B1450" s="5"/>
    </row>
    <row r="1451" spans="1:2" x14ac:dyDescent="0.25">
      <c r="A1451" s="4"/>
      <c r="B1451" s="5"/>
    </row>
    <row r="1452" spans="1:2" x14ac:dyDescent="0.25">
      <c r="A1452" s="4"/>
      <c r="B1452" s="5"/>
    </row>
    <row r="1453" spans="1:2" ht="15.75" thickBot="1" x14ac:dyDescent="0.3">
      <c r="A1453" s="4"/>
      <c r="B1453" s="6"/>
    </row>
    <row r="1454" spans="1:2" ht="15.75" thickBot="1" x14ac:dyDescent="0.3">
      <c r="A1454" s="4"/>
      <c r="B1454" s="4"/>
    </row>
    <row r="1455" spans="1:2" ht="15.75" thickBot="1" x14ac:dyDescent="0.3">
      <c r="A1455" s="4"/>
      <c r="B1455" s="7" t="s">
        <v>270</v>
      </c>
    </row>
    <row r="1456" spans="1:2" x14ac:dyDescent="0.25">
      <c r="A1456" s="4"/>
      <c r="B1456" s="5" t="s">
        <v>158</v>
      </c>
    </row>
    <row r="1457" spans="1:2" x14ac:dyDescent="0.25">
      <c r="A1457" s="4"/>
      <c r="B1457" s="5" t="s">
        <v>159</v>
      </c>
    </row>
    <row r="1458" spans="1:2" x14ac:dyDescent="0.25">
      <c r="A1458" s="4"/>
      <c r="B1458" s="5" t="s">
        <v>220</v>
      </c>
    </row>
    <row r="1459" spans="1:2" x14ac:dyDescent="0.25">
      <c r="A1459" s="4"/>
      <c r="B1459" s="5" t="s">
        <v>164</v>
      </c>
    </row>
    <row r="1460" spans="1:2" x14ac:dyDescent="0.25">
      <c r="A1460" s="4"/>
      <c r="B1460" s="5" t="s">
        <v>153</v>
      </c>
    </row>
    <row r="1461" spans="1:2" x14ac:dyDescent="0.25">
      <c r="A1461" s="4"/>
      <c r="B1461" s="5" t="s">
        <v>154</v>
      </c>
    </row>
    <row r="1462" spans="1:2" x14ac:dyDescent="0.25">
      <c r="A1462" s="4"/>
      <c r="B1462" s="5"/>
    </row>
    <row r="1463" spans="1:2" x14ac:dyDescent="0.25">
      <c r="A1463" s="4"/>
      <c r="B1463" s="5"/>
    </row>
    <row r="1464" spans="1:2" x14ac:dyDescent="0.25">
      <c r="A1464" s="4"/>
      <c r="B1464" s="5"/>
    </row>
    <row r="1465" spans="1:2" ht="15.75" thickBot="1" x14ac:dyDescent="0.3">
      <c r="A1465" s="4"/>
      <c r="B1465" s="6"/>
    </row>
    <row r="1466" spans="1:2" ht="15.75" thickBot="1" x14ac:dyDescent="0.3">
      <c r="A1466" s="4"/>
      <c r="B1466" s="4"/>
    </row>
    <row r="1467" spans="1:2" ht="15.75" thickBot="1" x14ac:dyDescent="0.3">
      <c r="A1467" s="4"/>
      <c r="B1467" s="7" t="s">
        <v>271</v>
      </c>
    </row>
    <row r="1468" spans="1:2" x14ac:dyDescent="0.25">
      <c r="A1468" s="4"/>
      <c r="B1468" s="5" t="s">
        <v>157</v>
      </c>
    </row>
    <row r="1469" spans="1:2" x14ac:dyDescent="0.25">
      <c r="A1469" s="4"/>
      <c r="B1469" s="5" t="s">
        <v>158</v>
      </c>
    </row>
    <row r="1470" spans="1:2" x14ac:dyDescent="0.25">
      <c r="A1470" s="4"/>
      <c r="B1470" s="5" t="s">
        <v>159</v>
      </c>
    </row>
    <row r="1471" spans="1:2" x14ac:dyDescent="0.25">
      <c r="A1471" s="4"/>
      <c r="B1471" s="5" t="s">
        <v>220</v>
      </c>
    </row>
    <row r="1472" spans="1:2" x14ac:dyDescent="0.25">
      <c r="A1472" s="4"/>
      <c r="B1472" s="5" t="s">
        <v>422</v>
      </c>
    </row>
    <row r="1473" spans="1:2" x14ac:dyDescent="0.25">
      <c r="A1473" s="4"/>
      <c r="B1473" s="5"/>
    </row>
    <row r="1474" spans="1:2" x14ac:dyDescent="0.25">
      <c r="A1474" s="4"/>
      <c r="B1474" s="5"/>
    </row>
    <row r="1475" spans="1:2" x14ac:dyDescent="0.25">
      <c r="A1475" s="4"/>
      <c r="B1475" s="5"/>
    </row>
    <row r="1476" spans="1:2" x14ac:dyDescent="0.25">
      <c r="A1476" s="4"/>
      <c r="B1476" s="5"/>
    </row>
    <row r="1477" spans="1:2" ht="15.75" thickBot="1" x14ac:dyDescent="0.3">
      <c r="A1477" s="4"/>
      <c r="B1477" s="6"/>
    </row>
    <row r="1478" spans="1:2" ht="15.75" thickBot="1" x14ac:dyDescent="0.3">
      <c r="A1478" s="4"/>
      <c r="B1478" s="4"/>
    </row>
    <row r="1479" spans="1:2" ht="15.75" thickBot="1" x14ac:dyDescent="0.3">
      <c r="A1479" s="4"/>
      <c r="B1479" s="7" t="s">
        <v>272</v>
      </c>
    </row>
    <row r="1480" spans="1:2" x14ac:dyDescent="0.25">
      <c r="A1480" s="4"/>
      <c r="B1480" s="5" t="s">
        <v>422</v>
      </c>
    </row>
    <row r="1481" spans="1:2" x14ac:dyDescent="0.25">
      <c r="A1481" s="4"/>
      <c r="B1481" s="5" t="s">
        <v>220</v>
      </c>
    </row>
    <row r="1482" spans="1:2" x14ac:dyDescent="0.25">
      <c r="A1482" s="4"/>
      <c r="B1482" s="5"/>
    </row>
    <row r="1483" spans="1:2" x14ac:dyDescent="0.25">
      <c r="A1483" s="4"/>
      <c r="B1483" s="5"/>
    </row>
    <row r="1484" spans="1:2" x14ac:dyDescent="0.25">
      <c r="A1484" s="4"/>
      <c r="B1484" s="5"/>
    </row>
    <row r="1485" spans="1:2" x14ac:dyDescent="0.25">
      <c r="A1485" s="4"/>
      <c r="B1485" s="5"/>
    </row>
    <row r="1486" spans="1:2" x14ac:dyDescent="0.25">
      <c r="A1486" s="4"/>
      <c r="B1486" s="5"/>
    </row>
    <row r="1487" spans="1:2" x14ac:dyDescent="0.25">
      <c r="A1487" s="4"/>
      <c r="B1487" s="5"/>
    </row>
    <row r="1488" spans="1:2" x14ac:dyDescent="0.25">
      <c r="A1488" s="4"/>
      <c r="B1488" s="5"/>
    </row>
    <row r="1489" spans="1:2" ht="15.75" thickBot="1" x14ac:dyDescent="0.3">
      <c r="A1489" s="4"/>
      <c r="B1489" s="6"/>
    </row>
    <row r="1490" spans="1:2" ht="15.75" thickBot="1" x14ac:dyDescent="0.3">
      <c r="A1490" s="4"/>
      <c r="B1490" s="4"/>
    </row>
    <row r="1491" spans="1:2" ht="15.75" thickBot="1" x14ac:dyDescent="0.3">
      <c r="A1491" s="4"/>
      <c r="B1491" s="7" t="s">
        <v>273</v>
      </c>
    </row>
    <row r="1492" spans="1:2" x14ac:dyDescent="0.25">
      <c r="A1492" s="4"/>
      <c r="B1492" s="5" t="s">
        <v>157</v>
      </c>
    </row>
    <row r="1493" spans="1:2" x14ac:dyDescent="0.25">
      <c r="A1493" s="4"/>
      <c r="B1493" s="5" t="s">
        <v>158</v>
      </c>
    </row>
    <row r="1494" spans="1:2" x14ac:dyDescent="0.25">
      <c r="A1494" s="4"/>
      <c r="B1494" s="5" t="s">
        <v>159</v>
      </c>
    </row>
    <row r="1495" spans="1:2" x14ac:dyDescent="0.25">
      <c r="A1495" s="4"/>
      <c r="B1495" s="5" t="s">
        <v>220</v>
      </c>
    </row>
    <row r="1496" spans="1:2" x14ac:dyDescent="0.25">
      <c r="A1496" s="4"/>
      <c r="B1496" s="5" t="s">
        <v>422</v>
      </c>
    </row>
    <row r="1497" spans="1:2" x14ac:dyDescent="0.25">
      <c r="A1497" s="4"/>
      <c r="B1497" s="5"/>
    </row>
    <row r="1498" spans="1:2" x14ac:dyDescent="0.25">
      <c r="A1498" s="4"/>
      <c r="B1498" s="5"/>
    </row>
    <row r="1499" spans="1:2" x14ac:dyDescent="0.25">
      <c r="A1499" s="4"/>
      <c r="B1499" s="5"/>
    </row>
    <row r="1500" spans="1:2" x14ac:dyDescent="0.25">
      <c r="A1500" s="4"/>
      <c r="B1500" s="5"/>
    </row>
    <row r="1501" spans="1:2" ht="15.75" thickBot="1" x14ac:dyDescent="0.3">
      <c r="A1501" s="4"/>
      <c r="B1501" s="6"/>
    </row>
    <row r="1502" spans="1:2" ht="15.75" thickBot="1" x14ac:dyDescent="0.3">
      <c r="A1502" s="4"/>
      <c r="B1502" s="4"/>
    </row>
    <row r="1503" spans="1:2" ht="15.75" thickBot="1" x14ac:dyDescent="0.3">
      <c r="A1503" s="4"/>
      <c r="B1503" s="7" t="s">
        <v>274</v>
      </c>
    </row>
    <row r="1504" spans="1:2" x14ac:dyDescent="0.25">
      <c r="A1504" s="4"/>
      <c r="B1504" s="5" t="s">
        <v>157</v>
      </c>
    </row>
    <row r="1505" spans="1:2" x14ac:dyDescent="0.25">
      <c r="A1505" s="4"/>
      <c r="B1505" s="5" t="s">
        <v>158</v>
      </c>
    </row>
    <row r="1506" spans="1:2" x14ac:dyDescent="0.25">
      <c r="A1506" s="4"/>
      <c r="B1506" s="5" t="s">
        <v>159</v>
      </c>
    </row>
    <row r="1507" spans="1:2" x14ac:dyDescent="0.25">
      <c r="A1507" s="4"/>
      <c r="B1507" s="5" t="s">
        <v>220</v>
      </c>
    </row>
    <row r="1508" spans="1:2" x14ac:dyDescent="0.25">
      <c r="A1508" s="4"/>
      <c r="B1508" s="5" t="s">
        <v>422</v>
      </c>
    </row>
    <row r="1509" spans="1:2" x14ac:dyDescent="0.25">
      <c r="A1509" s="4"/>
      <c r="B1509" s="5"/>
    </row>
    <row r="1510" spans="1:2" x14ac:dyDescent="0.25">
      <c r="A1510" s="4"/>
      <c r="B1510" s="5"/>
    </row>
    <row r="1511" spans="1:2" x14ac:dyDescent="0.25">
      <c r="A1511" s="4"/>
      <c r="B1511" s="5"/>
    </row>
    <row r="1512" spans="1:2" x14ac:dyDescent="0.25">
      <c r="A1512" s="4"/>
      <c r="B1512" s="5"/>
    </row>
    <row r="1513" spans="1:2" ht="15.75" thickBot="1" x14ac:dyDescent="0.3">
      <c r="A1513" s="4"/>
      <c r="B1513" s="6"/>
    </row>
    <row r="1514" spans="1:2" ht="15.75" thickBot="1" x14ac:dyDescent="0.3">
      <c r="A1514" s="4"/>
      <c r="B1514" s="4"/>
    </row>
    <row r="1515" spans="1:2" ht="15.75" thickBot="1" x14ac:dyDescent="0.3">
      <c r="A1515" s="4"/>
      <c r="B1515" s="7" t="s">
        <v>275</v>
      </c>
    </row>
    <row r="1516" spans="1:2" x14ac:dyDescent="0.25">
      <c r="A1516" s="4"/>
      <c r="B1516" s="5" t="s">
        <v>157</v>
      </c>
    </row>
    <row r="1517" spans="1:2" x14ac:dyDescent="0.25">
      <c r="A1517" s="4"/>
      <c r="B1517" s="5" t="s">
        <v>158</v>
      </c>
    </row>
    <row r="1518" spans="1:2" x14ac:dyDescent="0.25">
      <c r="A1518" s="4"/>
      <c r="B1518" s="5" t="s">
        <v>159</v>
      </c>
    </row>
    <row r="1519" spans="1:2" x14ac:dyDescent="0.25">
      <c r="A1519" s="4"/>
      <c r="B1519" s="5" t="s">
        <v>220</v>
      </c>
    </row>
    <row r="1520" spans="1:2" x14ac:dyDescent="0.25">
      <c r="A1520" s="4"/>
      <c r="B1520" s="5" t="s">
        <v>422</v>
      </c>
    </row>
    <row r="1521" spans="1:2" x14ac:dyDescent="0.25">
      <c r="A1521" s="4"/>
      <c r="B1521" s="5"/>
    </row>
    <row r="1522" spans="1:2" x14ac:dyDescent="0.25">
      <c r="A1522" s="4"/>
      <c r="B1522" s="5"/>
    </row>
    <row r="1523" spans="1:2" x14ac:dyDescent="0.25">
      <c r="A1523" s="4"/>
      <c r="B1523" s="5"/>
    </row>
    <row r="1524" spans="1:2" x14ac:dyDescent="0.25">
      <c r="A1524" s="4"/>
      <c r="B1524" s="5"/>
    </row>
    <row r="1525" spans="1:2" ht="15.75" thickBot="1" x14ac:dyDescent="0.3">
      <c r="A1525" s="4"/>
      <c r="B1525" s="6"/>
    </row>
    <row r="1526" spans="1:2" ht="15.75" thickBot="1" x14ac:dyDescent="0.3">
      <c r="A1526" s="4"/>
      <c r="B1526" s="4"/>
    </row>
    <row r="1527" spans="1:2" ht="15.75" thickBot="1" x14ac:dyDescent="0.3">
      <c r="A1527" s="4"/>
      <c r="B1527" s="7" t="s">
        <v>695</v>
      </c>
    </row>
    <row r="1528" spans="1:2" x14ac:dyDescent="0.25">
      <c r="A1528" s="4"/>
      <c r="B1528" s="5" t="s">
        <v>422</v>
      </c>
    </row>
    <row r="1529" spans="1:2" x14ac:dyDescent="0.25">
      <c r="A1529" s="4"/>
      <c r="B1529" s="5" t="s">
        <v>220</v>
      </c>
    </row>
    <row r="1530" spans="1:2" x14ac:dyDescent="0.25">
      <c r="A1530" s="4"/>
      <c r="B1530" s="5"/>
    </row>
    <row r="1531" spans="1:2" x14ac:dyDescent="0.25">
      <c r="A1531" s="4"/>
      <c r="B1531" s="5"/>
    </row>
    <row r="1532" spans="1:2" x14ac:dyDescent="0.25">
      <c r="A1532" s="4"/>
      <c r="B1532" s="5"/>
    </row>
    <row r="1533" spans="1:2" x14ac:dyDescent="0.25">
      <c r="A1533" s="4"/>
      <c r="B1533" s="5"/>
    </row>
    <row r="1534" spans="1:2" x14ac:dyDescent="0.25">
      <c r="A1534" s="4"/>
      <c r="B1534" s="5"/>
    </row>
    <row r="1535" spans="1:2" x14ac:dyDescent="0.25">
      <c r="A1535" s="4"/>
      <c r="B1535" s="5"/>
    </row>
    <row r="1536" spans="1:2" x14ac:dyDescent="0.25">
      <c r="A1536" s="4"/>
      <c r="B1536" s="5"/>
    </row>
    <row r="1537" spans="1:2" ht="15.75" thickBot="1" x14ac:dyDescent="0.3">
      <c r="A1537" s="4"/>
      <c r="B1537" s="6"/>
    </row>
    <row r="1538" spans="1:2" ht="15.75" thickBot="1" x14ac:dyDescent="0.3">
      <c r="A1538" s="4"/>
      <c r="B1538" s="4"/>
    </row>
    <row r="1539" spans="1:2" ht="15.75" thickBot="1" x14ac:dyDescent="0.3">
      <c r="A1539" s="4"/>
      <c r="B1539" s="7" t="s">
        <v>276</v>
      </c>
    </row>
    <row r="1540" spans="1:2" x14ac:dyDescent="0.25">
      <c r="A1540" s="4"/>
      <c r="B1540" s="5" t="s">
        <v>157</v>
      </c>
    </row>
    <row r="1541" spans="1:2" x14ac:dyDescent="0.25">
      <c r="A1541" s="4"/>
      <c r="B1541" s="5" t="s">
        <v>158</v>
      </c>
    </row>
    <row r="1542" spans="1:2" x14ac:dyDescent="0.25">
      <c r="A1542" s="4"/>
      <c r="B1542" s="5" t="s">
        <v>159</v>
      </c>
    </row>
    <row r="1543" spans="1:2" x14ac:dyDescent="0.25">
      <c r="A1543" s="4"/>
      <c r="B1543" s="5" t="s">
        <v>220</v>
      </c>
    </row>
    <row r="1544" spans="1:2" x14ac:dyDescent="0.25">
      <c r="A1544" s="4"/>
      <c r="B1544" s="5" t="s">
        <v>422</v>
      </c>
    </row>
    <row r="1545" spans="1:2" x14ac:dyDescent="0.25">
      <c r="A1545" s="4"/>
      <c r="B1545" s="5"/>
    </row>
    <row r="1546" spans="1:2" x14ac:dyDescent="0.25">
      <c r="A1546" s="4"/>
      <c r="B1546" s="5"/>
    </row>
    <row r="1547" spans="1:2" x14ac:dyDescent="0.25">
      <c r="A1547" s="4"/>
      <c r="B1547" s="5"/>
    </row>
    <row r="1548" spans="1:2" x14ac:dyDescent="0.25">
      <c r="A1548" s="4"/>
      <c r="B1548" s="5"/>
    </row>
    <row r="1549" spans="1:2" ht="15.75" thickBot="1" x14ac:dyDescent="0.3">
      <c r="A1549" s="4"/>
      <c r="B1549" s="6"/>
    </row>
    <row r="1550" spans="1:2" ht="15.75" thickBot="1" x14ac:dyDescent="0.3">
      <c r="A1550" s="4"/>
      <c r="B1550" s="4"/>
    </row>
    <row r="1551" spans="1:2" ht="15.75" thickBot="1" x14ac:dyDescent="0.3">
      <c r="A1551" s="4"/>
      <c r="B1551" s="7" t="s">
        <v>277</v>
      </c>
    </row>
    <row r="1552" spans="1:2" x14ac:dyDescent="0.25">
      <c r="A1552" s="4"/>
      <c r="B1552" s="5" t="s">
        <v>423</v>
      </c>
    </row>
    <row r="1553" spans="1:2" x14ac:dyDescent="0.25">
      <c r="A1553" s="4"/>
      <c r="B1553" s="5" t="s">
        <v>158</v>
      </c>
    </row>
    <row r="1554" spans="1:2" x14ac:dyDescent="0.25">
      <c r="A1554" s="4"/>
      <c r="B1554" s="5" t="s">
        <v>159</v>
      </c>
    </row>
    <row r="1555" spans="1:2" x14ac:dyDescent="0.25">
      <c r="A1555" s="4"/>
      <c r="B1555" s="5" t="s">
        <v>220</v>
      </c>
    </row>
    <row r="1556" spans="1:2" x14ac:dyDescent="0.25">
      <c r="A1556" s="4"/>
      <c r="B1556" s="5" t="s">
        <v>153</v>
      </c>
    </row>
    <row r="1557" spans="1:2" x14ac:dyDescent="0.25">
      <c r="A1557" s="4"/>
      <c r="B1557" s="5"/>
    </row>
    <row r="1558" spans="1:2" x14ac:dyDescent="0.25">
      <c r="A1558" s="4"/>
      <c r="B1558" s="5"/>
    </row>
    <row r="1559" spans="1:2" x14ac:dyDescent="0.25">
      <c r="A1559" s="4"/>
      <c r="B1559" s="5"/>
    </row>
    <row r="1560" spans="1:2" x14ac:dyDescent="0.25">
      <c r="A1560" s="4"/>
      <c r="B1560" s="5"/>
    </row>
    <row r="1561" spans="1:2" ht="15.75" thickBot="1" x14ac:dyDescent="0.3">
      <c r="A1561" s="4"/>
      <c r="B1561" s="6"/>
    </row>
    <row r="1562" spans="1:2" ht="15.75" thickBot="1" x14ac:dyDescent="0.3">
      <c r="A1562" s="4"/>
      <c r="B1562" s="4"/>
    </row>
    <row r="1563" spans="1:2" ht="15.75" thickBot="1" x14ac:dyDescent="0.3">
      <c r="A1563" s="4"/>
      <c r="B1563" s="7" t="s">
        <v>278</v>
      </c>
    </row>
    <row r="1564" spans="1:2" x14ac:dyDescent="0.25">
      <c r="A1564" s="4"/>
      <c r="B1564" s="5" t="s">
        <v>220</v>
      </c>
    </row>
    <row r="1565" spans="1:2" x14ac:dyDescent="0.25">
      <c r="A1565" s="4"/>
      <c r="B1565" s="5" t="s">
        <v>423</v>
      </c>
    </row>
    <row r="1566" spans="1:2" x14ac:dyDescent="0.25">
      <c r="A1566" s="4"/>
      <c r="B1566" s="5"/>
    </row>
    <row r="1567" spans="1:2" x14ac:dyDescent="0.25">
      <c r="A1567" s="4"/>
      <c r="B1567" s="5"/>
    </row>
    <row r="1568" spans="1:2" x14ac:dyDescent="0.25">
      <c r="A1568" s="4"/>
      <c r="B1568" s="5"/>
    </row>
    <row r="1569" spans="1:2" x14ac:dyDescent="0.25">
      <c r="A1569" s="4"/>
      <c r="B1569" s="5"/>
    </row>
    <row r="1570" spans="1:2" x14ac:dyDescent="0.25">
      <c r="A1570" s="4"/>
      <c r="B1570" s="5"/>
    </row>
    <row r="1571" spans="1:2" x14ac:dyDescent="0.25">
      <c r="A1571" s="4"/>
      <c r="B1571" s="5"/>
    </row>
    <row r="1572" spans="1:2" x14ac:dyDescent="0.25">
      <c r="A1572" s="4"/>
      <c r="B1572" s="5"/>
    </row>
    <row r="1573" spans="1:2" ht="15.75" thickBot="1" x14ac:dyDescent="0.3">
      <c r="A1573" s="4"/>
      <c r="B1573" s="6"/>
    </row>
    <row r="1574" spans="1:2" ht="15.75" thickBot="1" x14ac:dyDescent="0.3">
      <c r="A1574" s="4"/>
      <c r="B1574" s="4"/>
    </row>
    <row r="1575" spans="1:2" ht="15.75" thickBot="1" x14ac:dyDescent="0.3">
      <c r="A1575" s="4"/>
      <c r="B1575" s="7" t="s">
        <v>279</v>
      </c>
    </row>
    <row r="1576" spans="1:2" x14ac:dyDescent="0.25">
      <c r="A1576" s="4"/>
      <c r="B1576" s="5" t="s">
        <v>423</v>
      </c>
    </row>
    <row r="1577" spans="1:2" x14ac:dyDescent="0.25">
      <c r="A1577" s="4"/>
      <c r="B1577" s="5" t="s">
        <v>158</v>
      </c>
    </row>
    <row r="1578" spans="1:2" x14ac:dyDescent="0.25">
      <c r="A1578" s="4"/>
      <c r="B1578" s="5" t="s">
        <v>159</v>
      </c>
    </row>
    <row r="1579" spans="1:2" x14ac:dyDescent="0.25">
      <c r="A1579" s="4"/>
      <c r="B1579" s="5" t="s">
        <v>220</v>
      </c>
    </row>
    <row r="1580" spans="1:2" x14ac:dyDescent="0.25">
      <c r="A1580" s="4"/>
      <c r="B1580" s="5" t="s">
        <v>153</v>
      </c>
    </row>
    <row r="1581" spans="1:2" x14ac:dyDescent="0.25">
      <c r="A1581" s="4"/>
      <c r="B1581" s="5"/>
    </row>
    <row r="1582" spans="1:2" x14ac:dyDescent="0.25">
      <c r="A1582" s="4"/>
      <c r="B1582" s="5"/>
    </row>
    <row r="1583" spans="1:2" x14ac:dyDescent="0.25">
      <c r="A1583" s="4"/>
      <c r="B1583" s="5"/>
    </row>
    <row r="1584" spans="1:2" x14ac:dyDescent="0.25">
      <c r="A1584" s="4"/>
      <c r="B1584" s="5"/>
    </row>
    <row r="1585" spans="1:2" ht="15.75" thickBot="1" x14ac:dyDescent="0.3">
      <c r="A1585" s="4"/>
      <c r="B1585" s="6"/>
    </row>
    <row r="1586" spans="1:2" ht="15.75" thickBot="1" x14ac:dyDescent="0.3">
      <c r="A1586" s="4"/>
      <c r="B1586" s="4"/>
    </row>
    <row r="1587" spans="1:2" ht="15.75" thickBot="1" x14ac:dyDescent="0.3">
      <c r="A1587" s="4"/>
      <c r="B1587" s="7" t="s">
        <v>280</v>
      </c>
    </row>
    <row r="1588" spans="1:2" x14ac:dyDescent="0.25">
      <c r="A1588" s="4"/>
      <c r="B1588" s="5" t="s">
        <v>158</v>
      </c>
    </row>
    <row r="1589" spans="1:2" x14ac:dyDescent="0.25">
      <c r="A1589" s="4"/>
      <c r="B1589" s="5" t="s">
        <v>159</v>
      </c>
    </row>
    <row r="1590" spans="1:2" x14ac:dyDescent="0.25">
      <c r="A1590" s="4"/>
      <c r="B1590" s="5" t="s">
        <v>220</v>
      </c>
    </row>
    <row r="1591" spans="1:2" x14ac:dyDescent="0.25">
      <c r="A1591" s="4"/>
      <c r="B1591" s="5" t="s">
        <v>153</v>
      </c>
    </row>
    <row r="1592" spans="1:2" x14ac:dyDescent="0.25">
      <c r="A1592" s="4"/>
      <c r="B1592" s="5" t="s">
        <v>423</v>
      </c>
    </row>
    <row r="1593" spans="1:2" x14ac:dyDescent="0.25">
      <c r="A1593" s="4"/>
      <c r="B1593" s="5"/>
    </row>
    <row r="1594" spans="1:2" x14ac:dyDescent="0.25">
      <c r="A1594" s="4"/>
      <c r="B1594" s="5"/>
    </row>
    <row r="1595" spans="1:2" x14ac:dyDescent="0.25">
      <c r="A1595" s="4"/>
      <c r="B1595" s="5"/>
    </row>
    <row r="1596" spans="1:2" x14ac:dyDescent="0.25">
      <c r="A1596" s="4"/>
      <c r="B1596" s="5"/>
    </row>
    <row r="1597" spans="1:2" ht="15.75" thickBot="1" x14ac:dyDescent="0.3">
      <c r="A1597" s="4"/>
      <c r="B1597" s="6"/>
    </row>
    <row r="1598" spans="1:2" ht="15.75" thickBot="1" x14ac:dyDescent="0.3">
      <c r="A1598" s="4"/>
      <c r="B1598" s="4"/>
    </row>
    <row r="1599" spans="1:2" ht="15.75" thickBot="1" x14ac:dyDescent="0.3">
      <c r="A1599" s="4"/>
      <c r="B1599" s="7" t="s">
        <v>669</v>
      </c>
    </row>
    <row r="1600" spans="1:2" x14ac:dyDescent="0.25">
      <c r="A1600" s="4"/>
      <c r="B1600" s="5" t="s">
        <v>157</v>
      </c>
    </row>
    <row r="1601" spans="1:2" x14ac:dyDescent="0.25">
      <c r="A1601" s="4"/>
      <c r="B1601" s="5" t="s">
        <v>163</v>
      </c>
    </row>
    <row r="1602" spans="1:2" x14ac:dyDescent="0.25">
      <c r="A1602" s="4"/>
      <c r="B1602" s="5" t="s">
        <v>153</v>
      </c>
    </row>
    <row r="1603" spans="1:2" x14ac:dyDescent="0.25">
      <c r="A1603" s="4"/>
      <c r="B1603" s="5" t="s">
        <v>158</v>
      </c>
    </row>
    <row r="1604" spans="1:2" x14ac:dyDescent="0.25">
      <c r="A1604" s="4"/>
      <c r="B1604" s="5" t="s">
        <v>159</v>
      </c>
    </row>
    <row r="1605" spans="1:2" x14ac:dyDescent="0.25">
      <c r="A1605" s="4"/>
      <c r="B1605" s="5" t="s">
        <v>220</v>
      </c>
    </row>
    <row r="1606" spans="1:2" x14ac:dyDescent="0.25">
      <c r="A1606" s="4"/>
      <c r="B1606" s="5" t="s">
        <v>423</v>
      </c>
    </row>
    <row r="1607" spans="1:2" x14ac:dyDescent="0.25">
      <c r="A1607" s="4"/>
      <c r="B1607" s="5"/>
    </row>
    <row r="1608" spans="1:2" x14ac:dyDescent="0.25">
      <c r="A1608" s="4"/>
      <c r="B1608" s="5"/>
    </row>
    <row r="1609" spans="1:2" ht="15.75" thickBot="1" x14ac:dyDescent="0.3">
      <c r="A1609" s="4"/>
      <c r="B1609" s="6"/>
    </row>
    <row r="1610" spans="1:2" ht="15.75" thickBot="1" x14ac:dyDescent="0.3">
      <c r="A1610" s="4"/>
      <c r="B1610" s="4"/>
    </row>
    <row r="1611" spans="1:2" ht="15.75" thickBot="1" x14ac:dyDescent="0.3">
      <c r="A1611" s="4"/>
      <c r="B1611" s="7" t="s">
        <v>696</v>
      </c>
    </row>
    <row r="1612" spans="1:2" x14ac:dyDescent="0.25">
      <c r="A1612" s="4"/>
      <c r="B1612" s="5" t="s">
        <v>423</v>
      </c>
    </row>
    <row r="1613" spans="1:2" x14ac:dyDescent="0.25">
      <c r="A1613" s="4"/>
      <c r="B1613" s="5" t="s">
        <v>220</v>
      </c>
    </row>
    <row r="1614" spans="1:2" x14ac:dyDescent="0.25">
      <c r="A1614" s="4"/>
      <c r="B1614" s="5" t="s">
        <v>153</v>
      </c>
    </row>
    <row r="1615" spans="1:2" x14ac:dyDescent="0.25">
      <c r="A1615" s="4"/>
      <c r="B1615" s="5"/>
    </row>
    <row r="1616" spans="1:2" x14ac:dyDescent="0.25">
      <c r="A1616" s="4"/>
      <c r="B1616" s="5"/>
    </row>
    <row r="1617" spans="1:2" x14ac:dyDescent="0.25">
      <c r="A1617" s="4"/>
      <c r="B1617" s="5"/>
    </row>
    <row r="1618" spans="1:2" x14ac:dyDescent="0.25">
      <c r="A1618" s="4"/>
      <c r="B1618" s="5"/>
    </row>
    <row r="1619" spans="1:2" x14ac:dyDescent="0.25">
      <c r="A1619" s="4"/>
      <c r="B1619" s="5"/>
    </row>
    <row r="1620" spans="1:2" x14ac:dyDescent="0.25">
      <c r="A1620" s="4"/>
      <c r="B1620" s="5"/>
    </row>
    <row r="1621" spans="1:2" ht="15.75" thickBot="1" x14ac:dyDescent="0.3">
      <c r="A1621" s="4"/>
      <c r="B1621" s="6"/>
    </row>
    <row r="1622" spans="1:2" ht="15.75" thickBot="1" x14ac:dyDescent="0.3">
      <c r="A1622" s="4"/>
      <c r="B1622" s="4"/>
    </row>
    <row r="1623" spans="1:2" ht="15.75" thickBot="1" x14ac:dyDescent="0.3">
      <c r="A1623" s="4"/>
      <c r="B1623" s="7" t="s">
        <v>281</v>
      </c>
    </row>
    <row r="1624" spans="1:2" x14ac:dyDescent="0.25">
      <c r="A1624" s="4"/>
      <c r="B1624" s="5" t="s">
        <v>158</v>
      </c>
    </row>
    <row r="1625" spans="1:2" x14ac:dyDescent="0.25">
      <c r="A1625" s="4"/>
      <c r="B1625" s="5" t="s">
        <v>159</v>
      </c>
    </row>
    <row r="1626" spans="1:2" x14ac:dyDescent="0.25">
      <c r="A1626" s="4"/>
      <c r="B1626" s="5" t="s">
        <v>220</v>
      </c>
    </row>
    <row r="1627" spans="1:2" x14ac:dyDescent="0.25">
      <c r="A1627" s="4"/>
      <c r="B1627" s="5" t="s">
        <v>153</v>
      </c>
    </row>
    <row r="1628" spans="1:2" x14ac:dyDescent="0.25">
      <c r="A1628" s="4"/>
      <c r="B1628" s="5" t="s">
        <v>423</v>
      </c>
    </row>
    <row r="1629" spans="1:2" x14ac:dyDescent="0.25">
      <c r="A1629" s="4"/>
      <c r="B1629" s="5"/>
    </row>
    <row r="1630" spans="1:2" x14ac:dyDescent="0.25">
      <c r="A1630" s="4"/>
      <c r="B1630" s="5"/>
    </row>
    <row r="1631" spans="1:2" x14ac:dyDescent="0.25">
      <c r="A1631" s="4"/>
      <c r="B1631" s="5"/>
    </row>
    <row r="1632" spans="1:2" x14ac:dyDescent="0.25">
      <c r="A1632" s="4"/>
      <c r="B1632" s="5"/>
    </row>
    <row r="1633" spans="1:2" ht="15.75" thickBot="1" x14ac:dyDescent="0.3">
      <c r="A1633" s="4"/>
      <c r="B1633" s="6"/>
    </row>
    <row r="1634" spans="1:2" ht="15.75" thickBot="1" x14ac:dyDescent="0.3">
      <c r="A1634" s="4"/>
      <c r="B1634" s="4"/>
    </row>
    <row r="1635" spans="1:2" ht="15.75" thickBot="1" x14ac:dyDescent="0.3">
      <c r="A1635" s="4"/>
      <c r="B1635" s="7" t="s">
        <v>282</v>
      </c>
    </row>
    <row r="1636" spans="1:2" x14ac:dyDescent="0.25">
      <c r="A1636" s="4"/>
      <c r="B1636" s="5" t="s">
        <v>730</v>
      </c>
    </row>
    <row r="1637" spans="1:2" x14ac:dyDescent="0.25">
      <c r="A1637" s="4"/>
      <c r="B1637" s="5" t="s">
        <v>158</v>
      </c>
    </row>
    <row r="1638" spans="1:2" x14ac:dyDescent="0.25">
      <c r="A1638" s="4"/>
      <c r="B1638" s="5" t="s">
        <v>159</v>
      </c>
    </row>
    <row r="1639" spans="1:2" x14ac:dyDescent="0.25">
      <c r="A1639" s="4"/>
      <c r="B1639" s="5" t="s">
        <v>220</v>
      </c>
    </row>
    <row r="1640" spans="1:2" x14ac:dyDescent="0.25">
      <c r="A1640" s="4"/>
      <c r="B1640" s="5" t="s">
        <v>731</v>
      </c>
    </row>
    <row r="1641" spans="1:2" x14ac:dyDescent="0.25">
      <c r="A1641" s="4"/>
      <c r="B1641" s="5"/>
    </row>
    <row r="1642" spans="1:2" x14ac:dyDescent="0.25">
      <c r="A1642" s="4"/>
      <c r="B1642" s="5"/>
    </row>
    <row r="1643" spans="1:2" x14ac:dyDescent="0.25">
      <c r="A1643" s="4"/>
      <c r="B1643" s="5"/>
    </row>
    <row r="1644" spans="1:2" x14ac:dyDescent="0.25">
      <c r="A1644" s="4"/>
      <c r="B1644" s="5"/>
    </row>
    <row r="1645" spans="1:2" ht="15.75" thickBot="1" x14ac:dyDescent="0.3">
      <c r="A1645" s="4"/>
      <c r="B1645" s="6"/>
    </row>
    <row r="1646" spans="1:2" ht="15.75" thickBot="1" x14ac:dyDescent="0.3">
      <c r="A1646" s="4"/>
      <c r="B1646" s="4"/>
    </row>
    <row r="1647" spans="1:2" ht="15.75" thickBot="1" x14ac:dyDescent="0.3">
      <c r="A1647" s="4"/>
      <c r="B1647" s="7" t="s">
        <v>283</v>
      </c>
    </row>
    <row r="1648" spans="1:2" x14ac:dyDescent="0.25">
      <c r="A1648" s="4"/>
      <c r="B1648" s="5" t="s">
        <v>424</v>
      </c>
    </row>
    <row r="1649" spans="1:2" x14ac:dyDescent="0.25">
      <c r="A1649" s="4"/>
      <c r="B1649" s="5" t="s">
        <v>220</v>
      </c>
    </row>
    <row r="1650" spans="1:2" x14ac:dyDescent="0.25">
      <c r="A1650" s="4"/>
      <c r="B1650" s="5"/>
    </row>
    <row r="1651" spans="1:2" x14ac:dyDescent="0.25">
      <c r="A1651" s="4"/>
      <c r="B1651" s="5"/>
    </row>
    <row r="1652" spans="1:2" x14ac:dyDescent="0.25">
      <c r="A1652" s="4"/>
      <c r="B1652" s="5"/>
    </row>
    <row r="1653" spans="1:2" x14ac:dyDescent="0.25">
      <c r="A1653" s="4"/>
      <c r="B1653" s="5"/>
    </row>
    <row r="1654" spans="1:2" x14ac:dyDescent="0.25">
      <c r="A1654" s="4"/>
      <c r="B1654" s="5"/>
    </row>
    <row r="1655" spans="1:2" x14ac:dyDescent="0.25">
      <c r="A1655" s="4"/>
      <c r="B1655" s="5"/>
    </row>
    <row r="1656" spans="1:2" x14ac:dyDescent="0.25">
      <c r="A1656" s="4"/>
      <c r="B1656" s="5"/>
    </row>
    <row r="1657" spans="1:2" ht="15.75" thickBot="1" x14ac:dyDescent="0.3">
      <c r="A1657" s="4"/>
      <c r="B1657" s="6"/>
    </row>
    <row r="1658" spans="1:2" ht="15.75" thickBot="1" x14ac:dyDescent="0.3">
      <c r="A1658" s="4"/>
      <c r="B1658" s="4"/>
    </row>
    <row r="1659" spans="1:2" ht="15.75" thickBot="1" x14ac:dyDescent="0.3">
      <c r="A1659" s="4"/>
      <c r="B1659" s="7" t="s">
        <v>284</v>
      </c>
    </row>
    <row r="1660" spans="1:2" x14ac:dyDescent="0.25">
      <c r="A1660" s="4"/>
      <c r="B1660" s="5" t="s">
        <v>730</v>
      </c>
    </row>
    <row r="1661" spans="1:2" x14ac:dyDescent="0.25">
      <c r="A1661" s="4"/>
      <c r="B1661" s="5" t="s">
        <v>158</v>
      </c>
    </row>
    <row r="1662" spans="1:2" x14ac:dyDescent="0.25">
      <c r="A1662" s="4"/>
      <c r="B1662" s="5" t="s">
        <v>159</v>
      </c>
    </row>
    <row r="1663" spans="1:2" x14ac:dyDescent="0.25">
      <c r="A1663" s="4"/>
      <c r="B1663" s="5" t="s">
        <v>220</v>
      </c>
    </row>
    <row r="1664" spans="1:2" x14ac:dyDescent="0.25">
      <c r="A1664" s="4"/>
      <c r="B1664" s="5" t="s">
        <v>731</v>
      </c>
    </row>
    <row r="1665" spans="1:2" x14ac:dyDescent="0.25">
      <c r="A1665" s="4"/>
      <c r="B1665" s="5"/>
    </row>
    <row r="1666" spans="1:2" x14ac:dyDescent="0.25">
      <c r="A1666" s="4"/>
      <c r="B1666" s="5"/>
    </row>
    <row r="1667" spans="1:2" x14ac:dyDescent="0.25">
      <c r="A1667" s="4"/>
      <c r="B1667" s="5"/>
    </row>
    <row r="1668" spans="1:2" x14ac:dyDescent="0.25">
      <c r="A1668" s="4"/>
      <c r="B1668" s="5"/>
    </row>
    <row r="1669" spans="1:2" ht="15.75" thickBot="1" x14ac:dyDescent="0.3">
      <c r="A1669" s="4"/>
      <c r="B1669" s="6"/>
    </row>
    <row r="1670" spans="1:2" ht="15.75" thickBot="1" x14ac:dyDescent="0.3">
      <c r="A1670" s="4"/>
      <c r="B1670" s="4"/>
    </row>
    <row r="1671" spans="1:2" ht="15.75" thickBot="1" x14ac:dyDescent="0.3">
      <c r="A1671" s="4"/>
      <c r="B1671" s="7" t="s">
        <v>689</v>
      </c>
    </row>
    <row r="1672" spans="1:2" x14ac:dyDescent="0.25">
      <c r="A1672" s="4"/>
      <c r="B1672" s="5" t="s">
        <v>730</v>
      </c>
    </row>
    <row r="1673" spans="1:2" x14ac:dyDescent="0.25">
      <c r="A1673" s="4"/>
      <c r="B1673" s="5" t="s">
        <v>158</v>
      </c>
    </row>
    <row r="1674" spans="1:2" x14ac:dyDescent="0.25">
      <c r="A1674" s="4"/>
      <c r="B1674" s="5" t="s">
        <v>159</v>
      </c>
    </row>
    <row r="1675" spans="1:2" x14ac:dyDescent="0.25">
      <c r="A1675" s="4"/>
      <c r="B1675" s="5" t="s">
        <v>220</v>
      </c>
    </row>
    <row r="1676" spans="1:2" x14ac:dyDescent="0.25">
      <c r="A1676" s="4"/>
      <c r="B1676" s="5" t="s">
        <v>731</v>
      </c>
    </row>
    <row r="1677" spans="1:2" x14ac:dyDescent="0.25">
      <c r="A1677" s="4"/>
      <c r="B1677" s="5"/>
    </row>
    <row r="1678" spans="1:2" x14ac:dyDescent="0.25">
      <c r="A1678" s="4"/>
      <c r="B1678" s="5"/>
    </row>
    <row r="1679" spans="1:2" x14ac:dyDescent="0.25">
      <c r="A1679" s="4"/>
      <c r="B1679" s="5"/>
    </row>
    <row r="1680" spans="1:2" x14ac:dyDescent="0.25">
      <c r="A1680" s="4"/>
      <c r="B1680" s="5"/>
    </row>
    <row r="1681" spans="1:2" ht="15.75" thickBot="1" x14ac:dyDescent="0.3">
      <c r="A1681" s="4"/>
      <c r="B1681" s="6"/>
    </row>
    <row r="1682" spans="1:2" ht="15.75" thickBot="1" x14ac:dyDescent="0.3">
      <c r="A1682" s="4"/>
      <c r="B1682" s="4"/>
    </row>
    <row r="1683" spans="1:2" ht="15.75" thickBot="1" x14ac:dyDescent="0.3">
      <c r="A1683" s="4"/>
      <c r="B1683" s="7" t="s">
        <v>285</v>
      </c>
    </row>
    <row r="1684" spans="1:2" x14ac:dyDescent="0.25">
      <c r="A1684" s="4"/>
      <c r="B1684" s="5" t="s">
        <v>157</v>
      </c>
    </row>
    <row r="1685" spans="1:2" x14ac:dyDescent="0.25">
      <c r="A1685" s="4"/>
      <c r="B1685" s="5" t="s">
        <v>158</v>
      </c>
    </row>
    <row r="1686" spans="1:2" x14ac:dyDescent="0.25">
      <c r="A1686" s="4"/>
      <c r="B1686" s="5" t="s">
        <v>159</v>
      </c>
    </row>
    <row r="1687" spans="1:2" x14ac:dyDescent="0.25">
      <c r="A1687" s="4"/>
      <c r="B1687" s="5" t="s">
        <v>220</v>
      </c>
    </row>
    <row r="1688" spans="1:2" x14ac:dyDescent="0.25">
      <c r="A1688" s="4"/>
      <c r="B1688" s="5" t="s">
        <v>164</v>
      </c>
    </row>
    <row r="1689" spans="1:2" x14ac:dyDescent="0.25">
      <c r="A1689" s="4"/>
      <c r="B1689" s="5" t="s">
        <v>424</v>
      </c>
    </row>
    <row r="1690" spans="1:2" x14ac:dyDescent="0.25">
      <c r="A1690" s="4"/>
      <c r="B1690" s="5" t="s">
        <v>731</v>
      </c>
    </row>
    <row r="1691" spans="1:2" x14ac:dyDescent="0.25">
      <c r="A1691" s="4"/>
      <c r="B1691" s="5"/>
    </row>
    <row r="1692" spans="1:2" x14ac:dyDescent="0.25">
      <c r="A1692" s="4"/>
      <c r="B1692" s="5"/>
    </row>
    <row r="1693" spans="1:2" ht="15.75" thickBot="1" x14ac:dyDescent="0.3">
      <c r="A1693" s="4"/>
      <c r="B1693" s="6"/>
    </row>
    <row r="1694" spans="1:2" ht="15.75" thickBot="1" x14ac:dyDescent="0.3">
      <c r="A1694" s="4"/>
      <c r="B1694" s="4"/>
    </row>
    <row r="1695" spans="1:2" ht="15.75" thickBot="1" x14ac:dyDescent="0.3">
      <c r="A1695" s="4"/>
      <c r="B1695" s="7" t="s">
        <v>286</v>
      </c>
    </row>
    <row r="1696" spans="1:2" x14ac:dyDescent="0.25">
      <c r="A1696" s="4"/>
      <c r="B1696" s="5" t="s">
        <v>424</v>
      </c>
    </row>
    <row r="1697" spans="1:2" x14ac:dyDescent="0.25">
      <c r="A1697" s="4"/>
      <c r="B1697" s="5" t="s">
        <v>220</v>
      </c>
    </row>
    <row r="1698" spans="1:2" x14ac:dyDescent="0.25">
      <c r="A1698" s="4"/>
      <c r="B1698" s="5" t="s">
        <v>731</v>
      </c>
    </row>
    <row r="1699" spans="1:2" x14ac:dyDescent="0.25">
      <c r="A1699" s="4"/>
      <c r="B1699" s="5"/>
    </row>
    <row r="1700" spans="1:2" x14ac:dyDescent="0.25">
      <c r="A1700" s="4"/>
      <c r="B1700" s="5"/>
    </row>
    <row r="1701" spans="1:2" x14ac:dyDescent="0.25">
      <c r="A1701" s="4"/>
      <c r="B1701" s="5"/>
    </row>
    <row r="1702" spans="1:2" x14ac:dyDescent="0.25">
      <c r="A1702" s="4"/>
      <c r="B1702" s="5"/>
    </row>
    <row r="1703" spans="1:2" x14ac:dyDescent="0.25">
      <c r="A1703" s="4"/>
      <c r="B1703" s="5"/>
    </row>
    <row r="1704" spans="1:2" x14ac:dyDescent="0.25">
      <c r="A1704" s="4"/>
      <c r="B1704" s="5"/>
    </row>
    <row r="1705" spans="1:2" ht="15.75" thickBot="1" x14ac:dyDescent="0.3">
      <c r="A1705" s="4"/>
      <c r="B1705" s="6"/>
    </row>
    <row r="1706" spans="1:2" ht="15.75" thickBot="1" x14ac:dyDescent="0.3">
      <c r="A1706" s="4"/>
      <c r="B1706" s="4"/>
    </row>
    <row r="1707" spans="1:2" ht="15.75" thickBot="1" x14ac:dyDescent="0.3">
      <c r="A1707" s="4"/>
      <c r="B1707" s="7" t="s">
        <v>287</v>
      </c>
    </row>
    <row r="1708" spans="1:2" x14ac:dyDescent="0.25">
      <c r="A1708" s="4"/>
      <c r="B1708" s="5" t="s">
        <v>424</v>
      </c>
    </row>
    <row r="1709" spans="1:2" x14ac:dyDescent="0.25">
      <c r="A1709" s="4"/>
      <c r="B1709" s="5" t="s">
        <v>158</v>
      </c>
    </row>
    <row r="1710" spans="1:2" x14ac:dyDescent="0.25">
      <c r="A1710" s="4"/>
      <c r="B1710" s="5" t="s">
        <v>159</v>
      </c>
    </row>
    <row r="1711" spans="1:2" x14ac:dyDescent="0.25">
      <c r="A1711" s="4"/>
      <c r="B1711" s="5" t="s">
        <v>220</v>
      </c>
    </row>
    <row r="1712" spans="1:2" x14ac:dyDescent="0.25">
      <c r="A1712" s="4"/>
      <c r="B1712" s="5" t="s">
        <v>731</v>
      </c>
    </row>
    <row r="1713" spans="1:2" x14ac:dyDescent="0.25">
      <c r="A1713" s="4"/>
      <c r="B1713" s="5"/>
    </row>
    <row r="1714" spans="1:2" x14ac:dyDescent="0.25">
      <c r="A1714" s="4"/>
      <c r="B1714" s="5"/>
    </row>
    <row r="1715" spans="1:2" x14ac:dyDescent="0.25">
      <c r="A1715" s="4"/>
      <c r="B1715" s="5"/>
    </row>
    <row r="1716" spans="1:2" x14ac:dyDescent="0.25">
      <c r="A1716" s="4"/>
      <c r="B1716" s="5"/>
    </row>
    <row r="1717" spans="1:2" ht="15.75" thickBot="1" x14ac:dyDescent="0.3">
      <c r="A1717" s="4"/>
      <c r="B1717" s="6"/>
    </row>
    <row r="1718" spans="1:2" ht="15.75" thickBot="1" x14ac:dyDescent="0.3">
      <c r="A1718" s="4"/>
      <c r="B1718" s="4"/>
    </row>
    <row r="1719" spans="1:2" ht="15.75" thickBot="1" x14ac:dyDescent="0.3">
      <c r="A1719" s="4"/>
      <c r="B1719" s="7" t="s">
        <v>288</v>
      </c>
    </row>
    <row r="1720" spans="1:2" x14ac:dyDescent="0.25">
      <c r="A1720" s="4"/>
      <c r="B1720" s="5" t="s">
        <v>158</v>
      </c>
    </row>
    <row r="1721" spans="1:2" x14ac:dyDescent="0.25">
      <c r="A1721" s="4"/>
      <c r="B1721" s="5" t="s">
        <v>159</v>
      </c>
    </row>
    <row r="1722" spans="1:2" x14ac:dyDescent="0.25">
      <c r="A1722" s="4"/>
      <c r="B1722" s="5" t="s">
        <v>220</v>
      </c>
    </row>
    <row r="1723" spans="1:2" x14ac:dyDescent="0.25">
      <c r="A1723" s="4"/>
      <c r="B1723" s="5" t="s">
        <v>164</v>
      </c>
    </row>
    <row r="1724" spans="1:2" x14ac:dyDescent="0.25">
      <c r="A1724" s="4"/>
      <c r="B1724" s="5" t="s">
        <v>425</v>
      </c>
    </row>
    <row r="1725" spans="1:2" x14ac:dyDescent="0.25">
      <c r="A1725" s="4"/>
      <c r="B1725" s="5"/>
    </row>
    <row r="1726" spans="1:2" x14ac:dyDescent="0.25">
      <c r="A1726" s="4"/>
      <c r="B1726" s="5"/>
    </row>
    <row r="1727" spans="1:2" x14ac:dyDescent="0.25">
      <c r="A1727" s="4"/>
      <c r="B1727" s="5"/>
    </row>
    <row r="1728" spans="1:2" x14ac:dyDescent="0.25">
      <c r="A1728" s="4"/>
      <c r="B1728" s="5"/>
    </row>
    <row r="1729" spans="1:2" ht="15.75" thickBot="1" x14ac:dyDescent="0.3">
      <c r="A1729" s="4"/>
      <c r="B1729" s="6"/>
    </row>
    <row r="1730" spans="1:2" ht="15.75" thickBot="1" x14ac:dyDescent="0.3">
      <c r="A1730" s="4"/>
      <c r="B1730" s="4"/>
    </row>
    <row r="1731" spans="1:2" ht="15.75" thickBot="1" x14ac:dyDescent="0.3">
      <c r="A1731" s="4"/>
      <c r="B1731" s="7" t="s">
        <v>289</v>
      </c>
    </row>
    <row r="1732" spans="1:2" x14ac:dyDescent="0.25">
      <c r="A1732" s="4"/>
      <c r="B1732" s="5" t="s">
        <v>425</v>
      </c>
    </row>
    <row r="1733" spans="1:2" x14ac:dyDescent="0.25">
      <c r="A1733" s="4"/>
      <c r="B1733" s="5" t="s">
        <v>220</v>
      </c>
    </row>
    <row r="1734" spans="1:2" x14ac:dyDescent="0.25">
      <c r="A1734" s="4"/>
      <c r="B1734" s="5" t="s">
        <v>164</v>
      </c>
    </row>
    <row r="1735" spans="1:2" x14ac:dyDescent="0.25">
      <c r="A1735" s="4"/>
      <c r="B1735" s="5"/>
    </row>
    <row r="1736" spans="1:2" x14ac:dyDescent="0.25">
      <c r="A1736" s="4"/>
      <c r="B1736" s="5"/>
    </row>
    <row r="1737" spans="1:2" x14ac:dyDescent="0.25">
      <c r="A1737" s="4"/>
      <c r="B1737" s="5"/>
    </row>
    <row r="1738" spans="1:2" x14ac:dyDescent="0.25">
      <c r="A1738" s="4"/>
      <c r="B1738" s="5"/>
    </row>
    <row r="1739" spans="1:2" x14ac:dyDescent="0.25">
      <c r="A1739" s="4"/>
      <c r="B1739" s="5"/>
    </row>
    <row r="1740" spans="1:2" x14ac:dyDescent="0.25">
      <c r="A1740" s="4"/>
      <c r="B1740" s="5"/>
    </row>
    <row r="1741" spans="1:2" ht="15.75" thickBot="1" x14ac:dyDescent="0.3">
      <c r="A1741" s="4"/>
      <c r="B1741" s="6"/>
    </row>
    <row r="1742" spans="1:2" ht="15.75" thickBot="1" x14ac:dyDescent="0.3">
      <c r="A1742" s="4"/>
      <c r="B1742" s="4"/>
    </row>
    <row r="1743" spans="1:2" ht="15.75" thickBot="1" x14ac:dyDescent="0.3">
      <c r="A1743" s="4"/>
      <c r="B1743" s="7" t="s">
        <v>290</v>
      </c>
    </row>
    <row r="1744" spans="1:2" x14ac:dyDescent="0.25">
      <c r="A1744" s="4"/>
      <c r="B1744" s="5" t="s">
        <v>158</v>
      </c>
    </row>
    <row r="1745" spans="1:2" x14ac:dyDescent="0.25">
      <c r="A1745" s="4"/>
      <c r="B1745" s="5" t="s">
        <v>159</v>
      </c>
    </row>
    <row r="1746" spans="1:2" x14ac:dyDescent="0.25">
      <c r="A1746" s="4"/>
      <c r="B1746" s="5" t="s">
        <v>220</v>
      </c>
    </row>
    <row r="1747" spans="1:2" x14ac:dyDescent="0.25">
      <c r="A1747" s="4"/>
      <c r="B1747" s="5" t="s">
        <v>164</v>
      </c>
    </row>
    <row r="1748" spans="1:2" x14ac:dyDescent="0.25">
      <c r="A1748" s="4"/>
      <c r="B1748" s="5" t="s">
        <v>425</v>
      </c>
    </row>
    <row r="1749" spans="1:2" x14ac:dyDescent="0.25">
      <c r="A1749" s="4"/>
      <c r="B1749" s="5"/>
    </row>
    <row r="1750" spans="1:2" x14ac:dyDescent="0.25">
      <c r="A1750" s="4"/>
      <c r="B1750" s="5"/>
    </row>
    <row r="1751" spans="1:2" x14ac:dyDescent="0.25">
      <c r="A1751" s="4"/>
      <c r="B1751" s="5"/>
    </row>
    <row r="1752" spans="1:2" x14ac:dyDescent="0.25">
      <c r="A1752" s="4"/>
      <c r="B1752" s="5"/>
    </row>
    <row r="1753" spans="1:2" ht="15.75" thickBot="1" x14ac:dyDescent="0.3">
      <c r="A1753" s="4"/>
      <c r="B1753" s="6"/>
    </row>
    <row r="1754" spans="1:2" ht="15.75" thickBot="1" x14ac:dyDescent="0.3">
      <c r="A1754" s="4"/>
      <c r="B1754" s="4"/>
    </row>
    <row r="1755" spans="1:2" ht="15.75" thickBot="1" x14ac:dyDescent="0.3">
      <c r="A1755" s="4"/>
      <c r="B1755" s="7" t="s">
        <v>291</v>
      </c>
    </row>
    <row r="1756" spans="1:2" x14ac:dyDescent="0.25">
      <c r="A1756" s="4"/>
      <c r="B1756" s="5" t="s">
        <v>425</v>
      </c>
    </row>
    <row r="1757" spans="1:2" x14ac:dyDescent="0.25">
      <c r="A1757" s="4"/>
      <c r="B1757" s="5" t="s">
        <v>158</v>
      </c>
    </row>
    <row r="1758" spans="1:2" x14ac:dyDescent="0.25">
      <c r="A1758" s="4"/>
      <c r="B1758" s="5" t="s">
        <v>159</v>
      </c>
    </row>
    <row r="1759" spans="1:2" x14ac:dyDescent="0.25">
      <c r="A1759" s="4"/>
      <c r="B1759" s="5" t="s">
        <v>220</v>
      </c>
    </row>
    <row r="1760" spans="1:2" x14ac:dyDescent="0.25">
      <c r="A1760" s="4"/>
      <c r="B1760" s="5" t="s">
        <v>164</v>
      </c>
    </row>
    <row r="1761" spans="1:2" x14ac:dyDescent="0.25">
      <c r="A1761" s="4"/>
      <c r="B1761" s="5"/>
    </row>
    <row r="1762" spans="1:2" x14ac:dyDescent="0.25">
      <c r="A1762" s="4"/>
      <c r="B1762" s="5"/>
    </row>
    <row r="1763" spans="1:2" x14ac:dyDescent="0.25">
      <c r="A1763" s="4"/>
      <c r="B1763" s="5"/>
    </row>
    <row r="1764" spans="1:2" x14ac:dyDescent="0.25">
      <c r="A1764" s="4"/>
      <c r="B1764" s="5"/>
    </row>
    <row r="1765" spans="1:2" ht="15.75" thickBot="1" x14ac:dyDescent="0.3">
      <c r="A1765" s="4"/>
      <c r="B1765" s="6"/>
    </row>
    <row r="1766" spans="1:2" ht="15.75" thickBot="1" x14ac:dyDescent="0.3">
      <c r="A1766" s="4"/>
      <c r="B1766" s="4"/>
    </row>
    <row r="1767" spans="1:2" ht="15.75" thickBot="1" x14ac:dyDescent="0.3">
      <c r="A1767" s="4"/>
      <c r="B1767" s="7" t="s">
        <v>292</v>
      </c>
    </row>
    <row r="1768" spans="1:2" x14ac:dyDescent="0.25">
      <c r="A1768" s="4"/>
      <c r="B1768" s="5" t="s">
        <v>158</v>
      </c>
    </row>
    <row r="1769" spans="1:2" x14ac:dyDescent="0.25">
      <c r="A1769" s="4"/>
      <c r="B1769" s="5" t="s">
        <v>159</v>
      </c>
    </row>
    <row r="1770" spans="1:2" x14ac:dyDescent="0.25">
      <c r="A1770" s="4"/>
      <c r="B1770" s="5" t="s">
        <v>220</v>
      </c>
    </row>
    <row r="1771" spans="1:2" x14ac:dyDescent="0.25">
      <c r="A1771" s="4"/>
      <c r="B1771" s="5" t="s">
        <v>164</v>
      </c>
    </row>
    <row r="1772" spans="1:2" x14ac:dyDescent="0.25">
      <c r="A1772" s="4"/>
      <c r="B1772" s="5" t="s">
        <v>425</v>
      </c>
    </row>
    <row r="1773" spans="1:2" x14ac:dyDescent="0.25">
      <c r="A1773" s="4"/>
      <c r="B1773" s="5"/>
    </row>
    <row r="1774" spans="1:2" x14ac:dyDescent="0.25">
      <c r="A1774" s="4"/>
      <c r="B1774" s="5"/>
    </row>
    <row r="1775" spans="1:2" x14ac:dyDescent="0.25">
      <c r="A1775" s="4"/>
      <c r="B1775" s="5"/>
    </row>
    <row r="1776" spans="1:2" x14ac:dyDescent="0.25">
      <c r="A1776" s="4"/>
      <c r="B1776" s="5"/>
    </row>
    <row r="1777" spans="1:2" ht="15.75" thickBot="1" x14ac:dyDescent="0.3">
      <c r="A1777" s="4"/>
      <c r="B1777" s="6"/>
    </row>
    <row r="1778" spans="1:2" ht="15.75" thickBot="1" x14ac:dyDescent="0.3">
      <c r="A1778" s="4"/>
      <c r="B1778" s="4"/>
    </row>
    <row r="1779" spans="1:2" ht="15.75" thickBot="1" x14ac:dyDescent="0.3">
      <c r="A1779" s="4"/>
      <c r="B1779" s="7" t="s">
        <v>293</v>
      </c>
    </row>
    <row r="1780" spans="1:2" x14ac:dyDescent="0.25">
      <c r="A1780" s="4"/>
      <c r="B1780" s="5" t="s">
        <v>425</v>
      </c>
    </row>
    <row r="1781" spans="1:2" x14ac:dyDescent="0.25">
      <c r="A1781" s="4"/>
      <c r="B1781" s="5" t="s">
        <v>220</v>
      </c>
    </row>
    <row r="1782" spans="1:2" x14ac:dyDescent="0.25">
      <c r="A1782" s="4"/>
      <c r="B1782" s="5" t="s">
        <v>164</v>
      </c>
    </row>
    <row r="1783" spans="1:2" x14ac:dyDescent="0.25">
      <c r="A1783" s="4"/>
      <c r="B1783" s="5"/>
    </row>
    <row r="1784" spans="1:2" x14ac:dyDescent="0.25">
      <c r="A1784" s="4"/>
      <c r="B1784" s="5"/>
    </row>
    <row r="1785" spans="1:2" x14ac:dyDescent="0.25">
      <c r="A1785" s="4"/>
      <c r="B1785" s="5"/>
    </row>
    <row r="1786" spans="1:2" x14ac:dyDescent="0.25">
      <c r="A1786" s="4"/>
      <c r="B1786" s="5"/>
    </row>
    <row r="1787" spans="1:2" x14ac:dyDescent="0.25">
      <c r="A1787" s="4"/>
      <c r="B1787" s="5"/>
    </row>
    <row r="1788" spans="1:2" x14ac:dyDescent="0.25">
      <c r="A1788" s="4"/>
      <c r="B1788" s="5"/>
    </row>
    <row r="1789" spans="1:2" ht="15.75" thickBot="1" x14ac:dyDescent="0.3">
      <c r="A1789" s="4"/>
      <c r="B1789" s="6"/>
    </row>
    <row r="1790" spans="1:2" ht="15.75" thickBot="1" x14ac:dyDescent="0.3">
      <c r="A1790" s="4"/>
      <c r="B1790" s="4"/>
    </row>
    <row r="1791" spans="1:2" ht="15.75" thickBot="1" x14ac:dyDescent="0.3">
      <c r="A1791" s="4"/>
      <c r="B1791" s="7" t="s">
        <v>294</v>
      </c>
    </row>
    <row r="1792" spans="1:2" x14ac:dyDescent="0.25">
      <c r="A1792" s="4"/>
      <c r="B1792" s="5" t="s">
        <v>158</v>
      </c>
    </row>
    <row r="1793" spans="1:2" x14ac:dyDescent="0.25">
      <c r="A1793" s="4"/>
      <c r="B1793" s="5" t="s">
        <v>159</v>
      </c>
    </row>
    <row r="1794" spans="1:2" x14ac:dyDescent="0.25">
      <c r="A1794" s="4"/>
      <c r="B1794" s="5" t="s">
        <v>220</v>
      </c>
    </row>
    <row r="1795" spans="1:2" x14ac:dyDescent="0.25">
      <c r="A1795" s="4"/>
      <c r="B1795" s="5" t="s">
        <v>164</v>
      </c>
    </row>
    <row r="1796" spans="1:2" x14ac:dyDescent="0.25">
      <c r="A1796" s="4"/>
      <c r="B1796" s="5" t="s">
        <v>425</v>
      </c>
    </row>
    <row r="1797" spans="1:2" x14ac:dyDescent="0.25">
      <c r="A1797" s="4"/>
      <c r="B1797" s="5"/>
    </row>
    <row r="1798" spans="1:2" x14ac:dyDescent="0.25">
      <c r="A1798" s="4"/>
      <c r="B1798" s="5"/>
    </row>
    <row r="1799" spans="1:2" x14ac:dyDescent="0.25">
      <c r="A1799" s="4"/>
      <c r="B1799" s="5"/>
    </row>
    <row r="1800" spans="1:2" x14ac:dyDescent="0.25">
      <c r="A1800" s="4"/>
      <c r="B1800" s="5"/>
    </row>
    <row r="1801" spans="1:2" ht="15.75" thickBot="1" x14ac:dyDescent="0.3">
      <c r="A1801" s="4"/>
      <c r="B1801" s="6"/>
    </row>
    <row r="1802" spans="1:2" ht="15.75" thickBot="1" x14ac:dyDescent="0.3">
      <c r="A1802" s="4"/>
      <c r="B1802" s="4"/>
    </row>
    <row r="1803" spans="1:2" ht="15.75" thickBot="1" x14ac:dyDescent="0.3">
      <c r="A1803" s="4"/>
      <c r="B1803" s="7" t="s">
        <v>295</v>
      </c>
    </row>
    <row r="1804" spans="1:2" x14ac:dyDescent="0.25">
      <c r="A1804" s="4"/>
      <c r="B1804" s="5" t="s">
        <v>296</v>
      </c>
    </row>
    <row r="1805" spans="1:2" x14ac:dyDescent="0.25">
      <c r="A1805" s="4"/>
      <c r="B1805" s="5"/>
    </row>
    <row r="1806" spans="1:2" x14ac:dyDescent="0.25">
      <c r="A1806" s="4"/>
      <c r="B1806" s="5"/>
    </row>
    <row r="1807" spans="1:2" x14ac:dyDescent="0.25">
      <c r="A1807" s="4"/>
      <c r="B1807" s="5"/>
    </row>
    <row r="1808" spans="1:2" x14ac:dyDescent="0.25">
      <c r="A1808" s="4"/>
      <c r="B1808" s="5"/>
    </row>
    <row r="1809" spans="1:2" x14ac:dyDescent="0.25">
      <c r="A1809" s="4"/>
      <c r="B1809" s="5"/>
    </row>
    <row r="1810" spans="1:2" x14ac:dyDescent="0.25">
      <c r="A1810" s="4"/>
      <c r="B1810" s="5"/>
    </row>
    <row r="1811" spans="1:2" x14ac:dyDescent="0.25">
      <c r="A1811" s="4"/>
      <c r="B1811" s="5"/>
    </row>
    <row r="1812" spans="1:2" x14ac:dyDescent="0.25">
      <c r="A1812" s="4"/>
      <c r="B1812" s="5"/>
    </row>
    <row r="1813" spans="1:2" ht="15.75" thickBot="1" x14ac:dyDescent="0.3">
      <c r="A1813" s="4"/>
      <c r="B1813" s="6"/>
    </row>
    <row r="1814" spans="1:2" ht="15.75" thickBot="1" x14ac:dyDescent="0.3">
      <c r="A1814" s="4"/>
      <c r="B1814" s="4"/>
    </row>
    <row r="1815" spans="1:2" ht="15.75" thickBot="1" x14ac:dyDescent="0.3">
      <c r="A1815" s="4"/>
      <c r="B1815" s="7" t="s">
        <v>297</v>
      </c>
    </row>
    <row r="1816" spans="1:2" x14ac:dyDescent="0.25">
      <c r="A1816" s="4"/>
      <c r="B1816" s="5" t="s">
        <v>157</v>
      </c>
    </row>
    <row r="1817" spans="1:2" x14ac:dyDescent="0.25">
      <c r="A1817" s="4"/>
      <c r="B1817" s="5" t="s">
        <v>158</v>
      </c>
    </row>
    <row r="1818" spans="1:2" x14ac:dyDescent="0.25">
      <c r="A1818" s="4"/>
      <c r="B1818" s="5" t="s">
        <v>159</v>
      </c>
    </row>
    <row r="1819" spans="1:2" x14ac:dyDescent="0.25">
      <c r="A1819" s="4"/>
      <c r="B1819" s="5" t="s">
        <v>220</v>
      </c>
    </row>
    <row r="1820" spans="1:2" x14ac:dyDescent="0.25">
      <c r="A1820" s="4"/>
      <c r="B1820" s="5" t="s">
        <v>426</v>
      </c>
    </row>
    <row r="1821" spans="1:2" x14ac:dyDescent="0.25">
      <c r="A1821" s="4"/>
      <c r="B1821" s="5"/>
    </row>
    <row r="1822" spans="1:2" x14ac:dyDescent="0.25">
      <c r="A1822" s="4"/>
      <c r="B1822" s="5"/>
    </row>
    <row r="1823" spans="1:2" x14ac:dyDescent="0.25">
      <c r="A1823" s="4"/>
      <c r="B1823" s="5"/>
    </row>
    <row r="1824" spans="1:2" x14ac:dyDescent="0.25">
      <c r="A1824" s="4"/>
      <c r="B1824" s="5"/>
    </row>
    <row r="1825" spans="1:2" ht="15.75" thickBot="1" x14ac:dyDescent="0.3">
      <c r="A1825" s="4"/>
      <c r="B1825" s="6"/>
    </row>
    <row r="1826" spans="1:2" ht="15.75" thickBot="1" x14ac:dyDescent="0.3">
      <c r="A1826" s="4"/>
      <c r="B1826" s="4"/>
    </row>
    <row r="1827" spans="1:2" ht="15.75" thickBot="1" x14ac:dyDescent="0.3">
      <c r="A1827" s="4"/>
      <c r="B1827" s="7" t="s">
        <v>298</v>
      </c>
    </row>
    <row r="1828" spans="1:2" x14ac:dyDescent="0.25">
      <c r="A1828" s="4"/>
      <c r="B1828" s="5" t="s">
        <v>426</v>
      </c>
    </row>
    <row r="1829" spans="1:2" x14ac:dyDescent="0.25">
      <c r="A1829" s="4"/>
      <c r="B1829" s="5" t="s">
        <v>220</v>
      </c>
    </row>
    <row r="1830" spans="1:2" x14ac:dyDescent="0.25">
      <c r="A1830" s="4"/>
      <c r="B1830" s="5"/>
    </row>
    <row r="1831" spans="1:2" x14ac:dyDescent="0.25">
      <c r="A1831" s="4"/>
      <c r="B1831" s="5"/>
    </row>
    <row r="1832" spans="1:2" x14ac:dyDescent="0.25">
      <c r="A1832" s="4"/>
      <c r="B1832" s="5"/>
    </row>
    <row r="1833" spans="1:2" x14ac:dyDescent="0.25">
      <c r="A1833" s="4"/>
      <c r="B1833" s="5"/>
    </row>
    <row r="1834" spans="1:2" x14ac:dyDescent="0.25">
      <c r="A1834" s="4"/>
      <c r="B1834" s="5"/>
    </row>
    <row r="1835" spans="1:2" x14ac:dyDescent="0.25">
      <c r="A1835" s="4"/>
      <c r="B1835" s="5"/>
    </row>
    <row r="1836" spans="1:2" x14ac:dyDescent="0.25">
      <c r="A1836" s="4"/>
      <c r="B1836" s="5"/>
    </row>
    <row r="1837" spans="1:2" ht="15.75" thickBot="1" x14ac:dyDescent="0.3">
      <c r="A1837" s="4"/>
      <c r="B1837" s="6"/>
    </row>
    <row r="1838" spans="1:2" ht="15.75" thickBot="1" x14ac:dyDescent="0.3">
      <c r="A1838" s="4"/>
      <c r="B1838" s="4"/>
    </row>
    <row r="1839" spans="1:2" ht="15.75" thickBot="1" x14ac:dyDescent="0.3">
      <c r="A1839" s="4"/>
      <c r="B1839" s="7" t="s">
        <v>299</v>
      </c>
    </row>
    <row r="1840" spans="1:2" x14ac:dyDescent="0.25">
      <c r="A1840" s="4"/>
      <c r="B1840" s="5" t="s">
        <v>157</v>
      </c>
    </row>
    <row r="1841" spans="1:2" x14ac:dyDescent="0.25">
      <c r="A1841" s="4"/>
      <c r="B1841" s="5" t="s">
        <v>158</v>
      </c>
    </row>
    <row r="1842" spans="1:2" x14ac:dyDescent="0.25">
      <c r="A1842" s="4"/>
      <c r="B1842" s="5" t="s">
        <v>159</v>
      </c>
    </row>
    <row r="1843" spans="1:2" x14ac:dyDescent="0.25">
      <c r="A1843" s="4"/>
      <c r="B1843" s="5" t="s">
        <v>220</v>
      </c>
    </row>
    <row r="1844" spans="1:2" x14ac:dyDescent="0.25">
      <c r="A1844" s="4"/>
      <c r="B1844" s="5" t="s">
        <v>426</v>
      </c>
    </row>
    <row r="1845" spans="1:2" x14ac:dyDescent="0.25">
      <c r="A1845" s="4"/>
      <c r="B1845" s="5"/>
    </row>
    <row r="1846" spans="1:2" x14ac:dyDescent="0.25">
      <c r="A1846" s="4"/>
      <c r="B1846" s="5"/>
    </row>
    <row r="1847" spans="1:2" x14ac:dyDescent="0.25">
      <c r="A1847" s="4"/>
      <c r="B1847" s="5"/>
    </row>
    <row r="1848" spans="1:2" x14ac:dyDescent="0.25">
      <c r="A1848" s="4"/>
      <c r="B1848" s="5"/>
    </row>
    <row r="1849" spans="1:2" ht="15.75" thickBot="1" x14ac:dyDescent="0.3">
      <c r="A1849" s="4"/>
      <c r="B1849" s="6"/>
    </row>
    <row r="1850" spans="1:2" ht="15.75" thickBot="1" x14ac:dyDescent="0.3">
      <c r="A1850" s="4"/>
      <c r="B1850" s="4"/>
    </row>
    <row r="1851" spans="1:2" ht="15.75" thickBot="1" x14ac:dyDescent="0.3">
      <c r="A1851" s="4"/>
      <c r="B1851" s="7" t="s">
        <v>300</v>
      </c>
    </row>
    <row r="1852" spans="1:2" x14ac:dyDescent="0.25">
      <c r="A1852" s="4"/>
      <c r="B1852" s="5" t="s">
        <v>157</v>
      </c>
    </row>
    <row r="1853" spans="1:2" x14ac:dyDescent="0.25">
      <c r="A1853" s="4"/>
      <c r="B1853" s="5" t="s">
        <v>158</v>
      </c>
    </row>
    <row r="1854" spans="1:2" x14ac:dyDescent="0.25">
      <c r="A1854" s="4"/>
      <c r="B1854" s="5" t="s">
        <v>159</v>
      </c>
    </row>
    <row r="1855" spans="1:2" x14ac:dyDescent="0.25">
      <c r="A1855" s="4"/>
      <c r="B1855" s="5" t="s">
        <v>220</v>
      </c>
    </row>
    <row r="1856" spans="1:2" x14ac:dyDescent="0.25">
      <c r="A1856" s="4"/>
      <c r="B1856" s="5" t="s">
        <v>426</v>
      </c>
    </row>
    <row r="1857" spans="1:2" x14ac:dyDescent="0.25">
      <c r="A1857" s="4"/>
      <c r="B1857" s="5"/>
    </row>
    <row r="1858" spans="1:2" x14ac:dyDescent="0.25">
      <c r="A1858" s="4"/>
      <c r="B1858" s="5"/>
    </row>
    <row r="1859" spans="1:2" x14ac:dyDescent="0.25">
      <c r="A1859" s="4"/>
      <c r="B1859" s="5"/>
    </row>
    <row r="1860" spans="1:2" x14ac:dyDescent="0.25">
      <c r="A1860" s="4"/>
      <c r="B1860" s="5"/>
    </row>
    <row r="1861" spans="1:2" ht="15.75" thickBot="1" x14ac:dyDescent="0.3">
      <c r="A1861" s="4"/>
      <c r="B1861" s="6"/>
    </row>
    <row r="1862" spans="1:2" ht="15.75" thickBot="1" x14ac:dyDescent="0.3">
      <c r="A1862" s="4"/>
      <c r="B1862" s="4"/>
    </row>
    <row r="1863" spans="1:2" ht="15.75" thickBot="1" x14ac:dyDescent="0.3">
      <c r="A1863" s="4"/>
      <c r="B1863" s="7" t="s">
        <v>301</v>
      </c>
    </row>
    <row r="1864" spans="1:2" x14ac:dyDescent="0.25">
      <c r="A1864" s="4"/>
      <c r="B1864" s="5" t="s">
        <v>157</v>
      </c>
    </row>
    <row r="1865" spans="1:2" x14ac:dyDescent="0.25">
      <c r="A1865" s="4"/>
      <c r="B1865" s="5" t="s">
        <v>158</v>
      </c>
    </row>
    <row r="1866" spans="1:2" x14ac:dyDescent="0.25">
      <c r="A1866" s="4"/>
      <c r="B1866" s="5" t="s">
        <v>159</v>
      </c>
    </row>
    <row r="1867" spans="1:2" x14ac:dyDescent="0.25">
      <c r="A1867" s="4"/>
      <c r="B1867" s="5" t="s">
        <v>220</v>
      </c>
    </row>
    <row r="1868" spans="1:2" x14ac:dyDescent="0.25">
      <c r="A1868" s="4"/>
      <c r="B1868" s="5" t="s">
        <v>426</v>
      </c>
    </row>
    <row r="1869" spans="1:2" x14ac:dyDescent="0.25">
      <c r="A1869" s="4"/>
      <c r="B1869" s="5"/>
    </row>
    <row r="1870" spans="1:2" x14ac:dyDescent="0.25">
      <c r="A1870" s="4"/>
      <c r="B1870" s="5"/>
    </row>
    <row r="1871" spans="1:2" x14ac:dyDescent="0.25">
      <c r="A1871" s="4"/>
      <c r="B1871" s="5"/>
    </row>
    <row r="1872" spans="1:2" x14ac:dyDescent="0.25">
      <c r="A1872" s="4"/>
      <c r="B1872" s="5"/>
    </row>
    <row r="1873" spans="1:2" ht="15.75" thickBot="1" x14ac:dyDescent="0.3">
      <c r="A1873" s="4"/>
      <c r="B1873" s="6"/>
    </row>
    <row r="1874" spans="1:2" ht="15.75" thickBot="1" x14ac:dyDescent="0.3">
      <c r="A1874" s="4"/>
      <c r="B1874" s="4"/>
    </row>
    <row r="1875" spans="1:2" ht="15.75" thickBot="1" x14ac:dyDescent="0.3">
      <c r="A1875" s="4"/>
      <c r="B1875" s="7" t="s">
        <v>302</v>
      </c>
    </row>
    <row r="1876" spans="1:2" x14ac:dyDescent="0.25">
      <c r="A1876" s="4"/>
      <c r="B1876" s="5" t="s">
        <v>426</v>
      </c>
    </row>
    <row r="1877" spans="1:2" x14ac:dyDescent="0.25">
      <c r="A1877" s="4"/>
      <c r="B1877" s="5" t="s">
        <v>220</v>
      </c>
    </row>
    <row r="1878" spans="1:2" x14ac:dyDescent="0.25">
      <c r="A1878" s="4"/>
      <c r="B1878" s="5"/>
    </row>
    <row r="1879" spans="1:2" x14ac:dyDescent="0.25">
      <c r="A1879" s="4"/>
      <c r="B1879" s="5"/>
    </row>
    <row r="1880" spans="1:2" x14ac:dyDescent="0.25">
      <c r="A1880" s="4"/>
      <c r="B1880" s="5"/>
    </row>
    <row r="1881" spans="1:2" x14ac:dyDescent="0.25">
      <c r="A1881" s="4"/>
      <c r="B1881" s="5"/>
    </row>
    <row r="1882" spans="1:2" x14ac:dyDescent="0.25">
      <c r="A1882" s="4"/>
      <c r="B1882" s="5"/>
    </row>
    <row r="1883" spans="1:2" x14ac:dyDescent="0.25">
      <c r="A1883" s="4"/>
      <c r="B1883" s="5"/>
    </row>
    <row r="1884" spans="1:2" x14ac:dyDescent="0.25">
      <c r="A1884" s="4"/>
      <c r="B1884" s="5"/>
    </row>
    <row r="1885" spans="1:2" ht="15.75" thickBot="1" x14ac:dyDescent="0.3">
      <c r="A1885" s="4"/>
      <c r="B1885" s="6"/>
    </row>
    <row r="1886" spans="1:2" ht="15.75" thickBot="1" x14ac:dyDescent="0.3">
      <c r="A1886" s="4"/>
      <c r="B1886" s="4"/>
    </row>
    <row r="1887" spans="1:2" ht="15.75" thickBot="1" x14ac:dyDescent="0.3">
      <c r="A1887" s="4"/>
      <c r="B1887" s="7" t="s">
        <v>303</v>
      </c>
    </row>
    <row r="1888" spans="1:2" x14ac:dyDescent="0.25">
      <c r="A1888" s="4"/>
      <c r="B1888" s="5" t="s">
        <v>157</v>
      </c>
    </row>
    <row r="1889" spans="1:2" x14ac:dyDescent="0.25">
      <c r="A1889" s="4"/>
      <c r="B1889" s="5" t="s">
        <v>158</v>
      </c>
    </row>
    <row r="1890" spans="1:2" x14ac:dyDescent="0.25">
      <c r="A1890" s="4"/>
      <c r="B1890" s="5" t="s">
        <v>159</v>
      </c>
    </row>
    <row r="1891" spans="1:2" x14ac:dyDescent="0.25">
      <c r="A1891" s="4"/>
      <c r="B1891" s="5" t="s">
        <v>220</v>
      </c>
    </row>
    <row r="1892" spans="1:2" x14ac:dyDescent="0.25">
      <c r="A1892" s="4"/>
      <c r="B1892" s="5" t="s">
        <v>426</v>
      </c>
    </row>
    <row r="1893" spans="1:2" x14ac:dyDescent="0.25">
      <c r="A1893" s="4"/>
      <c r="B1893" s="5"/>
    </row>
    <row r="1894" spans="1:2" x14ac:dyDescent="0.25">
      <c r="A1894" s="4"/>
      <c r="B1894" s="5"/>
    </row>
    <row r="1895" spans="1:2" x14ac:dyDescent="0.25">
      <c r="A1895" s="4"/>
      <c r="B1895" s="5"/>
    </row>
    <row r="1896" spans="1:2" x14ac:dyDescent="0.25">
      <c r="A1896" s="4"/>
      <c r="B1896" s="5"/>
    </row>
    <row r="1897" spans="1:2" ht="15.75" thickBot="1" x14ac:dyDescent="0.3">
      <c r="A1897" s="4"/>
      <c r="B1897" s="6"/>
    </row>
    <row r="1898" spans="1:2" ht="15.75" thickBot="1" x14ac:dyDescent="0.3">
      <c r="A1898" s="4"/>
      <c r="B1898" s="4"/>
    </row>
    <row r="1899" spans="1:2" ht="15.75" thickBot="1" x14ac:dyDescent="0.3">
      <c r="A1899" s="4"/>
      <c r="B1899" s="7" t="s">
        <v>304</v>
      </c>
    </row>
    <row r="1900" spans="1:2" x14ac:dyDescent="0.25">
      <c r="A1900" s="4"/>
      <c r="B1900" s="5" t="s">
        <v>427</v>
      </c>
    </row>
    <row r="1901" spans="1:2" x14ac:dyDescent="0.25">
      <c r="A1901" s="4"/>
      <c r="B1901" s="5" t="s">
        <v>158</v>
      </c>
    </row>
    <row r="1902" spans="1:2" x14ac:dyDescent="0.25">
      <c r="A1902" s="4"/>
      <c r="B1902" s="5" t="s">
        <v>159</v>
      </c>
    </row>
    <row r="1903" spans="1:2" x14ac:dyDescent="0.25">
      <c r="A1903" s="4"/>
      <c r="B1903" s="5" t="s">
        <v>220</v>
      </c>
    </row>
    <row r="1904" spans="1:2" x14ac:dyDescent="0.25">
      <c r="A1904" s="4"/>
      <c r="B1904" s="5" t="s">
        <v>164</v>
      </c>
    </row>
    <row r="1905" spans="1:2" x14ac:dyDescent="0.25">
      <c r="A1905" s="4"/>
      <c r="B1905" s="5"/>
    </row>
    <row r="1906" spans="1:2" x14ac:dyDescent="0.25">
      <c r="A1906" s="4"/>
      <c r="B1906" s="5"/>
    </row>
    <row r="1907" spans="1:2" x14ac:dyDescent="0.25">
      <c r="A1907" s="4"/>
      <c r="B1907" s="5"/>
    </row>
    <row r="1908" spans="1:2" x14ac:dyDescent="0.25">
      <c r="A1908" s="4"/>
      <c r="B1908" s="5"/>
    </row>
    <row r="1909" spans="1:2" ht="15.75" thickBot="1" x14ac:dyDescent="0.3">
      <c r="A1909" s="4"/>
      <c r="B1909" s="6"/>
    </row>
    <row r="1910" spans="1:2" ht="15.75" thickBot="1" x14ac:dyDescent="0.3">
      <c r="A1910" s="4"/>
      <c r="B1910" s="4"/>
    </row>
    <row r="1911" spans="1:2" ht="15.75" thickBot="1" x14ac:dyDescent="0.3">
      <c r="A1911" s="4"/>
      <c r="B1911" s="7" t="s">
        <v>305</v>
      </c>
    </row>
    <row r="1912" spans="1:2" x14ac:dyDescent="0.25">
      <c r="A1912" s="4"/>
      <c r="B1912" s="5" t="s">
        <v>220</v>
      </c>
    </row>
    <row r="1913" spans="1:2" x14ac:dyDescent="0.25">
      <c r="A1913" s="4"/>
      <c r="B1913" s="5" t="s">
        <v>164</v>
      </c>
    </row>
    <row r="1914" spans="1:2" x14ac:dyDescent="0.25">
      <c r="A1914" s="4"/>
      <c r="B1914" s="5" t="s">
        <v>427</v>
      </c>
    </row>
    <row r="1915" spans="1:2" x14ac:dyDescent="0.25">
      <c r="A1915" s="4"/>
      <c r="B1915" s="5"/>
    </row>
    <row r="1916" spans="1:2" x14ac:dyDescent="0.25">
      <c r="A1916" s="4"/>
      <c r="B1916" s="5"/>
    </row>
    <row r="1917" spans="1:2" x14ac:dyDescent="0.25">
      <c r="A1917" s="4"/>
      <c r="B1917" s="5"/>
    </row>
    <row r="1918" spans="1:2" x14ac:dyDescent="0.25">
      <c r="A1918" s="4"/>
      <c r="B1918" s="5"/>
    </row>
    <row r="1919" spans="1:2" x14ac:dyDescent="0.25">
      <c r="A1919" s="4"/>
      <c r="B1919" s="5"/>
    </row>
    <row r="1920" spans="1:2" x14ac:dyDescent="0.25">
      <c r="A1920" s="4"/>
      <c r="B1920" s="5"/>
    </row>
    <row r="1921" spans="1:2" ht="15.75" thickBot="1" x14ac:dyDescent="0.3">
      <c r="A1921" s="4"/>
      <c r="B1921" s="6"/>
    </row>
    <row r="1922" spans="1:2" ht="15.75" thickBot="1" x14ac:dyDescent="0.3">
      <c r="A1922" s="4"/>
      <c r="B1922" s="4"/>
    </row>
    <row r="1923" spans="1:2" ht="15.75" thickBot="1" x14ac:dyDescent="0.3">
      <c r="A1923" s="4"/>
      <c r="B1923" s="7" t="s">
        <v>306</v>
      </c>
    </row>
    <row r="1924" spans="1:2" x14ac:dyDescent="0.25">
      <c r="A1924" s="4"/>
      <c r="B1924" s="5" t="s">
        <v>427</v>
      </c>
    </row>
    <row r="1925" spans="1:2" x14ac:dyDescent="0.25">
      <c r="A1925" s="4"/>
      <c r="B1925" s="5" t="s">
        <v>158</v>
      </c>
    </row>
    <row r="1926" spans="1:2" x14ac:dyDescent="0.25">
      <c r="A1926" s="4"/>
      <c r="B1926" s="5" t="s">
        <v>159</v>
      </c>
    </row>
    <row r="1927" spans="1:2" x14ac:dyDescent="0.25">
      <c r="A1927" s="4"/>
      <c r="B1927" s="5" t="s">
        <v>220</v>
      </c>
    </row>
    <row r="1928" spans="1:2" x14ac:dyDescent="0.25">
      <c r="A1928" s="4"/>
      <c r="B1928" s="5" t="s">
        <v>164</v>
      </c>
    </row>
    <row r="1929" spans="1:2" x14ac:dyDescent="0.25">
      <c r="A1929" s="4"/>
      <c r="B1929" s="5"/>
    </row>
    <row r="1930" spans="1:2" x14ac:dyDescent="0.25">
      <c r="A1930" s="4"/>
      <c r="B1930" s="5"/>
    </row>
    <row r="1931" spans="1:2" x14ac:dyDescent="0.25">
      <c r="A1931" s="4"/>
      <c r="B1931" s="5"/>
    </row>
    <row r="1932" spans="1:2" x14ac:dyDescent="0.25">
      <c r="A1932" s="4"/>
      <c r="B1932" s="5"/>
    </row>
    <row r="1933" spans="1:2" ht="15.75" thickBot="1" x14ac:dyDescent="0.3">
      <c r="A1933" s="4"/>
      <c r="B1933" s="6"/>
    </row>
    <row r="1934" spans="1:2" ht="15.75" thickBot="1" x14ac:dyDescent="0.3">
      <c r="A1934" s="4"/>
      <c r="B1934" s="4"/>
    </row>
    <row r="1935" spans="1:2" ht="15.75" thickBot="1" x14ac:dyDescent="0.3">
      <c r="A1935" s="4"/>
      <c r="B1935" s="7" t="s">
        <v>307</v>
      </c>
    </row>
    <row r="1936" spans="1:2" x14ac:dyDescent="0.25">
      <c r="A1936" s="4"/>
      <c r="B1936" s="5" t="s">
        <v>158</v>
      </c>
    </row>
    <row r="1937" spans="1:2" x14ac:dyDescent="0.25">
      <c r="A1937" s="4"/>
      <c r="B1937" s="5" t="s">
        <v>159</v>
      </c>
    </row>
    <row r="1938" spans="1:2" x14ac:dyDescent="0.25">
      <c r="A1938" s="4"/>
      <c r="B1938" s="5" t="s">
        <v>220</v>
      </c>
    </row>
    <row r="1939" spans="1:2" x14ac:dyDescent="0.25">
      <c r="A1939" s="4"/>
      <c r="B1939" s="5" t="s">
        <v>164</v>
      </c>
    </row>
    <row r="1940" spans="1:2" x14ac:dyDescent="0.25">
      <c r="A1940" s="4"/>
      <c r="B1940" s="5" t="s">
        <v>427</v>
      </c>
    </row>
    <row r="1941" spans="1:2" x14ac:dyDescent="0.25">
      <c r="A1941" s="4"/>
      <c r="B1941" s="5"/>
    </row>
    <row r="1942" spans="1:2" x14ac:dyDescent="0.25">
      <c r="A1942" s="4"/>
      <c r="B1942" s="5"/>
    </row>
    <row r="1943" spans="1:2" x14ac:dyDescent="0.25">
      <c r="A1943" s="4"/>
      <c r="B1943" s="5"/>
    </row>
    <row r="1944" spans="1:2" x14ac:dyDescent="0.25">
      <c r="A1944" s="4"/>
      <c r="B1944" s="5"/>
    </row>
    <row r="1945" spans="1:2" ht="15.75" thickBot="1" x14ac:dyDescent="0.3">
      <c r="A1945" s="4"/>
      <c r="B1945" s="6"/>
    </row>
    <row r="1946" spans="1:2" ht="15.75" thickBot="1" x14ac:dyDescent="0.3">
      <c r="A1946" s="4"/>
      <c r="B1946" s="4"/>
    </row>
    <row r="1947" spans="1:2" ht="15.75" thickBot="1" x14ac:dyDescent="0.3">
      <c r="A1947" s="4"/>
      <c r="B1947" s="7" t="s">
        <v>670</v>
      </c>
    </row>
    <row r="1948" spans="1:2" x14ac:dyDescent="0.25">
      <c r="A1948" s="4"/>
      <c r="B1948" s="5" t="s">
        <v>427</v>
      </c>
    </row>
    <row r="1949" spans="1:2" x14ac:dyDescent="0.25">
      <c r="A1949" s="4"/>
      <c r="B1949" s="5" t="s">
        <v>158</v>
      </c>
    </row>
    <row r="1950" spans="1:2" x14ac:dyDescent="0.25">
      <c r="A1950" s="4"/>
      <c r="B1950" s="5" t="s">
        <v>159</v>
      </c>
    </row>
    <row r="1951" spans="1:2" x14ac:dyDescent="0.25">
      <c r="A1951" s="4"/>
      <c r="B1951" s="5" t="s">
        <v>220</v>
      </c>
    </row>
    <row r="1952" spans="1:2" x14ac:dyDescent="0.25">
      <c r="A1952" s="4"/>
      <c r="B1952" s="5" t="s">
        <v>164</v>
      </c>
    </row>
    <row r="1953" spans="1:2" x14ac:dyDescent="0.25">
      <c r="A1953" s="4"/>
      <c r="B1953" s="5"/>
    </row>
    <row r="1954" spans="1:2" x14ac:dyDescent="0.25">
      <c r="A1954" s="4"/>
      <c r="B1954" s="5"/>
    </row>
    <row r="1955" spans="1:2" x14ac:dyDescent="0.25">
      <c r="A1955" s="4"/>
      <c r="B1955" s="5"/>
    </row>
    <row r="1956" spans="1:2" x14ac:dyDescent="0.25">
      <c r="A1956" s="4"/>
      <c r="B1956" s="5"/>
    </row>
    <row r="1957" spans="1:2" ht="15.75" thickBot="1" x14ac:dyDescent="0.3">
      <c r="A1957" s="4"/>
      <c r="B1957" s="6"/>
    </row>
    <row r="1958" spans="1:2" ht="15.75" thickBot="1" x14ac:dyDescent="0.3">
      <c r="A1958" s="4"/>
      <c r="B1958" s="4"/>
    </row>
    <row r="1959" spans="1:2" ht="15.75" thickBot="1" x14ac:dyDescent="0.3">
      <c r="A1959" s="4"/>
      <c r="B1959" s="7" t="s">
        <v>308</v>
      </c>
    </row>
    <row r="1960" spans="1:2" x14ac:dyDescent="0.25">
      <c r="A1960" s="4"/>
      <c r="B1960" s="5" t="s">
        <v>220</v>
      </c>
    </row>
    <row r="1961" spans="1:2" x14ac:dyDescent="0.25">
      <c r="A1961" s="4"/>
      <c r="B1961" s="5" t="s">
        <v>164</v>
      </c>
    </row>
    <row r="1962" spans="1:2" x14ac:dyDescent="0.25">
      <c r="A1962" s="4"/>
      <c r="B1962" s="5" t="s">
        <v>427</v>
      </c>
    </row>
    <row r="1963" spans="1:2" x14ac:dyDescent="0.25">
      <c r="A1963" s="4"/>
      <c r="B1963" s="5"/>
    </row>
    <row r="1964" spans="1:2" x14ac:dyDescent="0.25">
      <c r="A1964" s="4"/>
      <c r="B1964" s="5"/>
    </row>
    <row r="1965" spans="1:2" x14ac:dyDescent="0.25">
      <c r="A1965" s="4"/>
      <c r="B1965" s="5"/>
    </row>
    <row r="1966" spans="1:2" x14ac:dyDescent="0.25">
      <c r="A1966" s="4"/>
      <c r="B1966" s="5"/>
    </row>
    <row r="1967" spans="1:2" x14ac:dyDescent="0.25">
      <c r="A1967" s="4"/>
      <c r="B1967" s="5"/>
    </row>
    <row r="1968" spans="1:2" x14ac:dyDescent="0.25">
      <c r="A1968" s="4"/>
      <c r="B1968" s="5"/>
    </row>
    <row r="1969" spans="1:2" ht="15.75" thickBot="1" x14ac:dyDescent="0.3">
      <c r="A1969" s="4"/>
      <c r="B1969" s="6"/>
    </row>
    <row r="1970" spans="1:2" ht="15.75" thickBot="1" x14ac:dyDescent="0.3">
      <c r="A1970" s="4"/>
      <c r="B1970" s="4"/>
    </row>
    <row r="1971" spans="1:2" ht="15.75" thickBot="1" x14ac:dyDescent="0.3">
      <c r="A1971" s="4"/>
      <c r="B1971" s="7" t="s">
        <v>309</v>
      </c>
    </row>
    <row r="1972" spans="1:2" x14ac:dyDescent="0.25">
      <c r="A1972" s="4"/>
      <c r="B1972" s="5" t="s">
        <v>427</v>
      </c>
    </row>
    <row r="1973" spans="1:2" x14ac:dyDescent="0.25">
      <c r="A1973" s="4"/>
      <c r="B1973" s="5" t="s">
        <v>158</v>
      </c>
    </row>
    <row r="1974" spans="1:2" x14ac:dyDescent="0.25">
      <c r="A1974" s="4"/>
      <c r="B1974" s="5" t="s">
        <v>159</v>
      </c>
    </row>
    <row r="1975" spans="1:2" x14ac:dyDescent="0.25">
      <c r="A1975" s="4"/>
      <c r="B1975" s="5" t="s">
        <v>220</v>
      </c>
    </row>
    <row r="1976" spans="1:2" x14ac:dyDescent="0.25">
      <c r="A1976" s="4"/>
      <c r="B1976" s="5" t="s">
        <v>164</v>
      </c>
    </row>
    <row r="1977" spans="1:2" x14ac:dyDescent="0.25">
      <c r="A1977" s="4"/>
      <c r="B1977" s="5"/>
    </row>
    <row r="1978" spans="1:2" x14ac:dyDescent="0.25">
      <c r="A1978" s="4"/>
      <c r="B1978" s="5"/>
    </row>
    <row r="1979" spans="1:2" x14ac:dyDescent="0.25">
      <c r="A1979" s="4"/>
      <c r="B1979" s="5"/>
    </row>
    <row r="1980" spans="1:2" x14ac:dyDescent="0.25">
      <c r="A1980" s="4"/>
      <c r="B1980" s="5"/>
    </row>
    <row r="1981" spans="1:2" ht="15.75" thickBot="1" x14ac:dyDescent="0.3">
      <c r="A1981" s="4"/>
      <c r="B1981" s="6"/>
    </row>
    <row r="1982" spans="1:2" ht="15.75" thickBot="1" x14ac:dyDescent="0.3">
      <c r="A1982" s="4"/>
      <c r="B1982" s="4"/>
    </row>
    <row r="1983" spans="1:2" ht="15.75" thickBot="1" x14ac:dyDescent="0.3">
      <c r="A1983" s="4"/>
      <c r="B1983" s="7" t="s">
        <v>310</v>
      </c>
    </row>
    <row r="1984" spans="1:2" x14ac:dyDescent="0.25">
      <c r="A1984" s="4"/>
      <c r="B1984" s="5" t="s">
        <v>158</v>
      </c>
    </row>
    <row r="1985" spans="1:2" x14ac:dyDescent="0.25">
      <c r="A1985" s="4"/>
      <c r="B1985" s="5" t="s">
        <v>159</v>
      </c>
    </row>
    <row r="1986" spans="1:2" x14ac:dyDescent="0.25">
      <c r="A1986" s="4"/>
      <c r="B1986" s="5" t="s">
        <v>220</v>
      </c>
    </row>
    <row r="1987" spans="1:2" x14ac:dyDescent="0.25">
      <c r="A1987" s="4"/>
      <c r="B1987" s="5"/>
    </row>
    <row r="1988" spans="1:2" x14ac:dyDescent="0.25">
      <c r="A1988" s="4"/>
      <c r="B1988" s="5"/>
    </row>
    <row r="1989" spans="1:2" x14ac:dyDescent="0.25">
      <c r="A1989" s="4"/>
      <c r="B1989" s="5"/>
    </row>
    <row r="1990" spans="1:2" x14ac:dyDescent="0.25">
      <c r="A1990" s="4"/>
      <c r="B1990" s="5"/>
    </row>
    <row r="1991" spans="1:2" x14ac:dyDescent="0.25">
      <c r="A1991" s="4"/>
      <c r="B1991" s="5"/>
    </row>
    <row r="1992" spans="1:2" x14ac:dyDescent="0.25">
      <c r="A1992" s="4"/>
      <c r="B1992" s="5"/>
    </row>
    <row r="1993" spans="1:2" ht="15.75" thickBot="1" x14ac:dyDescent="0.3">
      <c r="A1993" s="4"/>
      <c r="B1993" s="6"/>
    </row>
    <row r="1994" spans="1:2" ht="15.75" thickBot="1" x14ac:dyDescent="0.3">
      <c r="A1994" s="4"/>
      <c r="B1994" s="4"/>
    </row>
    <row r="1995" spans="1:2" ht="15.75" thickBot="1" x14ac:dyDescent="0.3">
      <c r="A1995" s="4"/>
      <c r="B1995" s="7" t="s">
        <v>311</v>
      </c>
    </row>
    <row r="1996" spans="1:2" x14ac:dyDescent="0.25">
      <c r="A1996" s="4"/>
      <c r="B1996" s="5" t="s">
        <v>220</v>
      </c>
    </row>
    <row r="1997" spans="1:2" x14ac:dyDescent="0.25">
      <c r="A1997" s="4"/>
      <c r="B1997" s="5"/>
    </row>
    <row r="1998" spans="1:2" x14ac:dyDescent="0.25">
      <c r="A1998" s="4"/>
      <c r="B1998" s="5"/>
    </row>
    <row r="1999" spans="1:2" x14ac:dyDescent="0.25">
      <c r="A1999" s="4"/>
      <c r="B1999" s="5"/>
    </row>
    <row r="2000" spans="1:2" x14ac:dyDescent="0.25">
      <c r="A2000" s="4"/>
      <c r="B2000" s="5"/>
    </row>
    <row r="2001" spans="1:2" x14ac:dyDescent="0.25">
      <c r="A2001" s="4"/>
      <c r="B2001" s="5"/>
    </row>
    <row r="2002" spans="1:2" x14ac:dyDescent="0.25">
      <c r="A2002" s="4"/>
      <c r="B2002" s="5"/>
    </row>
    <row r="2003" spans="1:2" x14ac:dyDescent="0.25">
      <c r="A2003" s="4"/>
      <c r="B2003" s="5"/>
    </row>
    <row r="2004" spans="1:2" x14ac:dyDescent="0.25">
      <c r="A2004" s="4"/>
      <c r="B2004" s="5"/>
    </row>
    <row r="2005" spans="1:2" ht="15.75" thickBot="1" x14ac:dyDescent="0.3">
      <c r="A2005" s="4"/>
      <c r="B2005" s="6"/>
    </row>
    <row r="2006" spans="1:2" ht="15.75" thickBot="1" x14ac:dyDescent="0.3">
      <c r="A2006" s="4"/>
      <c r="B2006" s="4"/>
    </row>
    <row r="2007" spans="1:2" ht="15.75" thickBot="1" x14ac:dyDescent="0.3">
      <c r="A2007" s="4"/>
      <c r="B2007" s="7" t="s">
        <v>312</v>
      </c>
    </row>
    <row r="2008" spans="1:2" x14ac:dyDescent="0.25">
      <c r="A2008" s="4"/>
      <c r="B2008" s="5" t="s">
        <v>158</v>
      </c>
    </row>
    <row r="2009" spans="1:2" x14ac:dyDescent="0.25">
      <c r="A2009" s="4"/>
      <c r="B2009" s="5" t="s">
        <v>159</v>
      </c>
    </row>
    <row r="2010" spans="1:2" x14ac:dyDescent="0.25">
      <c r="A2010" s="4"/>
      <c r="B2010" s="5" t="s">
        <v>220</v>
      </c>
    </row>
    <row r="2011" spans="1:2" x14ac:dyDescent="0.25">
      <c r="A2011" s="4"/>
      <c r="B2011" s="5"/>
    </row>
    <row r="2012" spans="1:2" x14ac:dyDescent="0.25">
      <c r="A2012" s="4"/>
      <c r="B2012" s="5"/>
    </row>
    <row r="2013" spans="1:2" x14ac:dyDescent="0.25">
      <c r="A2013" s="4"/>
      <c r="B2013" s="5"/>
    </row>
    <row r="2014" spans="1:2" x14ac:dyDescent="0.25">
      <c r="A2014" s="4"/>
      <c r="B2014" s="5"/>
    </row>
    <row r="2015" spans="1:2" x14ac:dyDescent="0.25">
      <c r="A2015" s="4"/>
      <c r="B2015" s="5"/>
    </row>
    <row r="2016" spans="1:2" x14ac:dyDescent="0.25">
      <c r="A2016" s="4"/>
      <c r="B2016" s="5"/>
    </row>
    <row r="2017" spans="1:2" ht="15.75" thickBot="1" x14ac:dyDescent="0.3">
      <c r="A2017" s="4"/>
      <c r="B2017" s="6"/>
    </row>
    <row r="2018" spans="1:2" ht="15.75" thickBot="1" x14ac:dyDescent="0.3">
      <c r="A2018" s="4"/>
      <c r="B2018" s="4"/>
    </row>
    <row r="2019" spans="1:2" ht="15.75" thickBot="1" x14ac:dyDescent="0.3">
      <c r="A2019" s="4"/>
      <c r="B2019" s="7" t="s">
        <v>690</v>
      </c>
    </row>
    <row r="2020" spans="1:2" x14ac:dyDescent="0.25">
      <c r="A2020" s="4"/>
      <c r="B2020" s="5" t="s">
        <v>158</v>
      </c>
    </row>
    <row r="2021" spans="1:2" x14ac:dyDescent="0.25">
      <c r="A2021" s="4"/>
      <c r="B2021" s="5" t="s">
        <v>159</v>
      </c>
    </row>
    <row r="2022" spans="1:2" x14ac:dyDescent="0.25">
      <c r="A2022" s="4"/>
      <c r="B2022" s="5" t="s">
        <v>220</v>
      </c>
    </row>
    <row r="2023" spans="1:2" x14ac:dyDescent="0.25">
      <c r="A2023" s="4"/>
      <c r="B2023" s="5"/>
    </row>
    <row r="2024" spans="1:2" x14ac:dyDescent="0.25">
      <c r="A2024" s="4"/>
      <c r="B2024" s="5"/>
    </row>
    <row r="2025" spans="1:2" x14ac:dyDescent="0.25">
      <c r="A2025" s="4"/>
      <c r="B2025" s="5"/>
    </row>
    <row r="2026" spans="1:2" x14ac:dyDescent="0.25">
      <c r="A2026" s="4"/>
      <c r="B2026" s="5"/>
    </row>
    <row r="2027" spans="1:2" x14ac:dyDescent="0.25">
      <c r="A2027" s="4"/>
      <c r="B2027" s="5"/>
    </row>
    <row r="2028" spans="1:2" x14ac:dyDescent="0.25">
      <c r="A2028" s="4"/>
      <c r="B2028" s="5"/>
    </row>
    <row r="2029" spans="1:2" ht="15.75" thickBot="1" x14ac:dyDescent="0.3">
      <c r="A2029" s="4"/>
      <c r="B2029" s="6"/>
    </row>
    <row r="2030" spans="1:2" ht="15.75" thickBot="1" x14ac:dyDescent="0.3">
      <c r="A2030" s="4"/>
      <c r="B2030" s="4"/>
    </row>
    <row r="2031" spans="1:2" ht="15.75" thickBot="1" x14ac:dyDescent="0.3">
      <c r="A2031" s="4"/>
      <c r="B2031" s="7" t="s">
        <v>313</v>
      </c>
    </row>
    <row r="2032" spans="1:2" x14ac:dyDescent="0.25">
      <c r="A2032" s="4"/>
      <c r="B2032" s="5" t="s">
        <v>158</v>
      </c>
    </row>
    <row r="2033" spans="1:2" x14ac:dyDescent="0.25">
      <c r="A2033" s="4"/>
      <c r="B2033" s="5" t="s">
        <v>159</v>
      </c>
    </row>
    <row r="2034" spans="1:2" x14ac:dyDescent="0.25">
      <c r="A2034" s="4"/>
      <c r="B2034" s="5" t="s">
        <v>220</v>
      </c>
    </row>
    <row r="2035" spans="1:2" x14ac:dyDescent="0.25">
      <c r="A2035" s="4"/>
      <c r="B2035" s="5"/>
    </row>
    <row r="2036" spans="1:2" x14ac:dyDescent="0.25">
      <c r="A2036" s="4"/>
      <c r="B2036" s="5"/>
    </row>
    <row r="2037" spans="1:2" x14ac:dyDescent="0.25">
      <c r="A2037" s="4"/>
      <c r="B2037" s="5"/>
    </row>
    <row r="2038" spans="1:2" x14ac:dyDescent="0.25">
      <c r="A2038" s="4"/>
      <c r="B2038" s="5"/>
    </row>
    <row r="2039" spans="1:2" x14ac:dyDescent="0.25">
      <c r="A2039" s="4"/>
      <c r="B2039" s="5"/>
    </row>
    <row r="2040" spans="1:2" x14ac:dyDescent="0.25">
      <c r="A2040" s="4"/>
      <c r="B2040" s="5"/>
    </row>
    <row r="2041" spans="1:2" ht="15.75" thickBot="1" x14ac:dyDescent="0.3">
      <c r="A2041" s="4"/>
      <c r="B2041" s="6"/>
    </row>
    <row r="2042" spans="1:2" ht="15.75" thickBot="1" x14ac:dyDescent="0.3">
      <c r="A2042" s="4"/>
      <c r="B2042" s="4"/>
    </row>
    <row r="2043" spans="1:2" ht="15.75" thickBot="1" x14ac:dyDescent="0.3">
      <c r="A2043" s="4"/>
      <c r="B2043" s="7" t="s">
        <v>314</v>
      </c>
    </row>
    <row r="2044" spans="1:2" x14ac:dyDescent="0.25">
      <c r="A2044" s="4"/>
      <c r="B2044" s="5" t="s">
        <v>220</v>
      </c>
    </row>
    <row r="2045" spans="1:2" x14ac:dyDescent="0.25">
      <c r="A2045" s="4"/>
      <c r="B2045" s="5"/>
    </row>
    <row r="2046" spans="1:2" x14ac:dyDescent="0.25">
      <c r="A2046" s="4"/>
      <c r="B2046" s="5"/>
    </row>
    <row r="2047" spans="1:2" x14ac:dyDescent="0.25">
      <c r="A2047" s="4"/>
      <c r="B2047" s="5"/>
    </row>
    <row r="2048" spans="1:2" x14ac:dyDescent="0.25">
      <c r="A2048" s="4"/>
      <c r="B2048" s="5"/>
    </row>
    <row r="2049" spans="1:2" x14ac:dyDescent="0.25">
      <c r="A2049" s="4"/>
      <c r="B2049" s="5"/>
    </row>
    <row r="2050" spans="1:2" x14ac:dyDescent="0.25">
      <c r="A2050" s="4"/>
      <c r="B2050" s="5"/>
    </row>
    <row r="2051" spans="1:2" x14ac:dyDescent="0.25">
      <c r="A2051" s="4"/>
      <c r="B2051" s="5"/>
    </row>
    <row r="2052" spans="1:2" x14ac:dyDescent="0.25">
      <c r="A2052" s="4"/>
      <c r="B2052" s="5"/>
    </row>
    <row r="2053" spans="1:2" ht="15.75" thickBot="1" x14ac:dyDescent="0.3">
      <c r="A2053" s="4"/>
      <c r="B2053" s="6"/>
    </row>
    <row r="2054" spans="1:2" ht="15.75" thickBot="1" x14ac:dyDescent="0.3">
      <c r="A2054" s="4"/>
      <c r="B2054" s="4"/>
    </row>
    <row r="2055" spans="1:2" ht="15.75" thickBot="1" x14ac:dyDescent="0.3">
      <c r="A2055" s="4"/>
      <c r="B2055" s="7" t="s">
        <v>315</v>
      </c>
    </row>
    <row r="2056" spans="1:2" x14ac:dyDescent="0.25">
      <c r="A2056" s="4"/>
      <c r="B2056" s="5" t="s">
        <v>158</v>
      </c>
    </row>
    <row r="2057" spans="1:2" x14ac:dyDescent="0.25">
      <c r="A2057" s="4"/>
      <c r="B2057" s="5" t="s">
        <v>159</v>
      </c>
    </row>
    <row r="2058" spans="1:2" x14ac:dyDescent="0.25">
      <c r="A2058" s="4"/>
      <c r="B2058" s="5" t="s">
        <v>220</v>
      </c>
    </row>
    <row r="2059" spans="1:2" x14ac:dyDescent="0.25">
      <c r="A2059" s="4"/>
      <c r="B2059" s="5"/>
    </row>
    <row r="2060" spans="1:2" x14ac:dyDescent="0.25">
      <c r="A2060" s="4"/>
      <c r="B2060" s="5"/>
    </row>
    <row r="2061" spans="1:2" x14ac:dyDescent="0.25">
      <c r="A2061" s="4"/>
      <c r="B2061" s="5"/>
    </row>
    <row r="2062" spans="1:2" x14ac:dyDescent="0.25">
      <c r="A2062" s="4"/>
      <c r="B2062" s="5"/>
    </row>
    <row r="2063" spans="1:2" x14ac:dyDescent="0.25">
      <c r="A2063" s="4"/>
      <c r="B2063" s="5"/>
    </row>
    <row r="2064" spans="1:2" x14ac:dyDescent="0.25">
      <c r="A2064" s="4"/>
      <c r="B2064" s="5"/>
    </row>
    <row r="2065" spans="1:2" ht="15.75" thickBot="1" x14ac:dyDescent="0.3">
      <c r="A2065" s="4"/>
      <c r="B2065" s="6"/>
    </row>
    <row r="2066" spans="1:2" ht="15.75" thickBot="1" x14ac:dyDescent="0.3">
      <c r="A2066" s="4"/>
      <c r="B2066" s="4"/>
    </row>
    <row r="2067" spans="1:2" ht="15.75" thickBot="1" x14ac:dyDescent="0.3">
      <c r="A2067" s="4"/>
      <c r="B2067" s="7" t="s">
        <v>316</v>
      </c>
    </row>
    <row r="2068" spans="1:2" x14ac:dyDescent="0.25">
      <c r="A2068" s="4"/>
      <c r="B2068" s="5" t="s">
        <v>158</v>
      </c>
    </row>
    <row r="2069" spans="1:2" x14ac:dyDescent="0.25">
      <c r="A2069" s="4"/>
      <c r="B2069" s="5" t="s">
        <v>159</v>
      </c>
    </row>
    <row r="2070" spans="1:2" x14ac:dyDescent="0.25">
      <c r="A2070" s="4"/>
      <c r="B2070" s="5" t="s">
        <v>220</v>
      </c>
    </row>
    <row r="2071" spans="1:2" x14ac:dyDescent="0.25">
      <c r="A2071" s="4"/>
      <c r="B2071" s="5" t="s">
        <v>164</v>
      </c>
    </row>
    <row r="2072" spans="1:2" x14ac:dyDescent="0.25">
      <c r="A2072" s="4"/>
      <c r="B2072" s="5" t="s">
        <v>428</v>
      </c>
    </row>
    <row r="2073" spans="1:2" x14ac:dyDescent="0.25">
      <c r="A2073" s="4"/>
      <c r="B2073" s="5"/>
    </row>
    <row r="2074" spans="1:2" x14ac:dyDescent="0.25">
      <c r="A2074" s="4"/>
      <c r="B2074" s="5"/>
    </row>
    <row r="2075" spans="1:2" x14ac:dyDescent="0.25">
      <c r="A2075" s="4"/>
      <c r="B2075" s="5"/>
    </row>
    <row r="2076" spans="1:2" x14ac:dyDescent="0.25">
      <c r="A2076" s="4"/>
      <c r="B2076" s="5"/>
    </row>
    <row r="2077" spans="1:2" ht="15.75" thickBot="1" x14ac:dyDescent="0.3">
      <c r="A2077" s="4"/>
      <c r="B2077" s="6"/>
    </row>
    <row r="2078" spans="1:2" ht="15.75" thickBot="1" x14ac:dyDescent="0.3">
      <c r="A2078" s="4"/>
      <c r="B2078" s="4"/>
    </row>
    <row r="2079" spans="1:2" ht="15.75" thickBot="1" x14ac:dyDescent="0.3">
      <c r="A2079" s="4"/>
      <c r="B2079" s="7" t="s">
        <v>317</v>
      </c>
    </row>
    <row r="2080" spans="1:2" x14ac:dyDescent="0.25">
      <c r="A2080" s="4"/>
      <c r="B2080" s="5" t="s">
        <v>428</v>
      </c>
    </row>
    <row r="2081" spans="1:2" x14ac:dyDescent="0.25">
      <c r="A2081" s="4"/>
      <c r="B2081" s="5" t="s">
        <v>220</v>
      </c>
    </row>
    <row r="2082" spans="1:2" x14ac:dyDescent="0.25">
      <c r="A2082" s="4"/>
      <c r="B2082" s="5" t="s">
        <v>164</v>
      </c>
    </row>
    <row r="2083" spans="1:2" x14ac:dyDescent="0.25">
      <c r="A2083" s="4"/>
      <c r="B2083" s="5"/>
    </row>
    <row r="2084" spans="1:2" x14ac:dyDescent="0.25">
      <c r="A2084" s="4"/>
      <c r="B2084" s="5"/>
    </row>
    <row r="2085" spans="1:2" x14ac:dyDescent="0.25">
      <c r="A2085" s="4"/>
      <c r="B2085" s="5"/>
    </row>
    <row r="2086" spans="1:2" x14ac:dyDescent="0.25">
      <c r="A2086" s="4"/>
      <c r="B2086" s="5"/>
    </row>
    <row r="2087" spans="1:2" x14ac:dyDescent="0.25">
      <c r="A2087" s="4"/>
      <c r="B2087" s="5"/>
    </row>
    <row r="2088" spans="1:2" x14ac:dyDescent="0.25">
      <c r="A2088" s="4"/>
      <c r="B2088" s="5"/>
    </row>
    <row r="2089" spans="1:2" ht="15.75" thickBot="1" x14ac:dyDescent="0.3">
      <c r="A2089" s="4"/>
      <c r="B2089" s="6"/>
    </row>
    <row r="2090" spans="1:2" ht="15.75" thickBot="1" x14ac:dyDescent="0.3">
      <c r="A2090" s="4"/>
      <c r="B2090" s="4"/>
    </row>
    <row r="2091" spans="1:2" ht="15.75" thickBot="1" x14ac:dyDescent="0.3">
      <c r="A2091" s="4"/>
      <c r="B2091" s="7" t="s">
        <v>318</v>
      </c>
    </row>
    <row r="2092" spans="1:2" x14ac:dyDescent="0.25">
      <c r="A2092" s="4"/>
      <c r="B2092" s="5" t="s">
        <v>158</v>
      </c>
    </row>
    <row r="2093" spans="1:2" x14ac:dyDescent="0.25">
      <c r="A2093" s="4"/>
      <c r="B2093" s="5" t="s">
        <v>159</v>
      </c>
    </row>
    <row r="2094" spans="1:2" x14ac:dyDescent="0.25">
      <c r="A2094" s="4"/>
      <c r="B2094" s="5" t="s">
        <v>220</v>
      </c>
    </row>
    <row r="2095" spans="1:2" x14ac:dyDescent="0.25">
      <c r="A2095" s="4"/>
      <c r="B2095" s="5" t="s">
        <v>164</v>
      </c>
    </row>
    <row r="2096" spans="1:2" x14ac:dyDescent="0.25">
      <c r="A2096" s="4"/>
      <c r="B2096" s="5" t="s">
        <v>428</v>
      </c>
    </row>
    <row r="2097" spans="1:2" x14ac:dyDescent="0.25">
      <c r="A2097" s="4"/>
      <c r="B2097" s="5"/>
    </row>
    <row r="2098" spans="1:2" x14ac:dyDescent="0.25">
      <c r="A2098" s="4"/>
      <c r="B2098" s="5"/>
    </row>
    <row r="2099" spans="1:2" x14ac:dyDescent="0.25">
      <c r="A2099" s="4"/>
      <c r="B2099" s="5"/>
    </row>
    <row r="2100" spans="1:2" x14ac:dyDescent="0.25">
      <c r="A2100" s="4"/>
      <c r="B2100" s="5"/>
    </row>
    <row r="2101" spans="1:2" ht="15.75" thickBot="1" x14ac:dyDescent="0.3">
      <c r="A2101" s="4"/>
      <c r="B2101" s="6"/>
    </row>
    <row r="2102" spans="1:2" ht="15.75" thickBot="1" x14ac:dyDescent="0.3">
      <c r="A2102" s="4"/>
      <c r="B2102" s="4"/>
    </row>
    <row r="2103" spans="1:2" ht="15.75" thickBot="1" x14ac:dyDescent="0.3">
      <c r="A2103" s="4"/>
      <c r="B2103" s="7" t="s">
        <v>319</v>
      </c>
    </row>
    <row r="2104" spans="1:2" x14ac:dyDescent="0.25">
      <c r="A2104" s="4"/>
      <c r="B2104" s="5" t="s">
        <v>428</v>
      </c>
    </row>
    <row r="2105" spans="1:2" x14ac:dyDescent="0.25">
      <c r="A2105" s="4"/>
      <c r="B2105" s="5" t="s">
        <v>220</v>
      </c>
    </row>
    <row r="2106" spans="1:2" x14ac:dyDescent="0.25">
      <c r="A2106" s="4"/>
      <c r="B2106" s="5" t="s">
        <v>164</v>
      </c>
    </row>
    <row r="2107" spans="1:2" x14ac:dyDescent="0.25">
      <c r="A2107" s="4"/>
      <c r="B2107" s="5"/>
    </row>
    <row r="2108" spans="1:2" x14ac:dyDescent="0.25">
      <c r="A2108" s="4"/>
      <c r="B2108" s="5"/>
    </row>
    <row r="2109" spans="1:2" x14ac:dyDescent="0.25">
      <c r="A2109" s="4"/>
      <c r="B2109" s="5"/>
    </row>
    <row r="2110" spans="1:2" x14ac:dyDescent="0.25">
      <c r="A2110" s="4"/>
      <c r="B2110" s="5"/>
    </row>
    <row r="2111" spans="1:2" x14ac:dyDescent="0.25">
      <c r="A2111" s="4"/>
      <c r="B2111" s="5"/>
    </row>
    <row r="2112" spans="1:2" x14ac:dyDescent="0.25">
      <c r="A2112" s="4"/>
      <c r="B2112" s="5"/>
    </row>
    <row r="2113" spans="1:2" ht="15.75" thickBot="1" x14ac:dyDescent="0.3">
      <c r="A2113" s="4"/>
      <c r="B2113" s="6"/>
    </row>
    <row r="2114" spans="1:2" ht="15.75" thickBot="1" x14ac:dyDescent="0.3">
      <c r="A2114" s="4"/>
      <c r="B2114" s="4"/>
    </row>
    <row r="2115" spans="1:2" ht="15.75" thickBot="1" x14ac:dyDescent="0.3">
      <c r="A2115" s="4"/>
      <c r="B2115" s="7" t="s">
        <v>320</v>
      </c>
    </row>
    <row r="2116" spans="1:2" x14ac:dyDescent="0.25">
      <c r="A2116" s="4"/>
      <c r="B2116" s="5" t="s">
        <v>158</v>
      </c>
    </row>
    <row r="2117" spans="1:2" x14ac:dyDescent="0.25">
      <c r="A2117" s="4"/>
      <c r="B2117" s="5" t="s">
        <v>159</v>
      </c>
    </row>
    <row r="2118" spans="1:2" x14ac:dyDescent="0.25">
      <c r="A2118" s="4"/>
      <c r="B2118" s="5" t="s">
        <v>220</v>
      </c>
    </row>
    <row r="2119" spans="1:2" x14ac:dyDescent="0.25">
      <c r="A2119" s="4"/>
      <c r="B2119" s="5" t="s">
        <v>164</v>
      </c>
    </row>
    <row r="2120" spans="1:2" x14ac:dyDescent="0.25">
      <c r="A2120" s="4"/>
      <c r="B2120" s="5" t="s">
        <v>428</v>
      </c>
    </row>
    <row r="2121" spans="1:2" x14ac:dyDescent="0.25">
      <c r="A2121" s="4"/>
      <c r="B2121" s="5"/>
    </row>
    <row r="2122" spans="1:2" x14ac:dyDescent="0.25">
      <c r="A2122" s="4"/>
      <c r="B2122" s="5"/>
    </row>
    <row r="2123" spans="1:2" x14ac:dyDescent="0.25">
      <c r="A2123" s="4"/>
      <c r="B2123" s="5"/>
    </row>
    <row r="2124" spans="1:2" x14ac:dyDescent="0.25">
      <c r="A2124" s="4"/>
      <c r="B2124" s="5"/>
    </row>
    <row r="2125" spans="1:2" ht="15.75" thickBot="1" x14ac:dyDescent="0.3">
      <c r="A2125" s="4"/>
      <c r="B2125" s="6"/>
    </row>
    <row r="2126" spans="1:2" ht="15.75" thickBot="1" x14ac:dyDescent="0.3">
      <c r="A2126" s="4"/>
      <c r="B2126" s="4"/>
    </row>
    <row r="2127" spans="1:2" ht="15.75" thickBot="1" x14ac:dyDescent="0.3">
      <c r="A2127" s="4"/>
      <c r="B2127" s="7" t="s">
        <v>321</v>
      </c>
    </row>
    <row r="2128" spans="1:2" x14ac:dyDescent="0.25">
      <c r="A2128" s="4"/>
      <c r="B2128" s="5" t="s">
        <v>429</v>
      </c>
    </row>
    <row r="2129" spans="1:2" x14ac:dyDescent="0.25">
      <c r="A2129" s="4"/>
      <c r="B2129" s="5" t="s">
        <v>158</v>
      </c>
    </row>
    <row r="2130" spans="1:2" x14ac:dyDescent="0.25">
      <c r="A2130" s="4"/>
      <c r="B2130" s="5" t="s">
        <v>159</v>
      </c>
    </row>
    <row r="2131" spans="1:2" x14ac:dyDescent="0.25">
      <c r="A2131" s="4"/>
      <c r="B2131" s="5" t="s">
        <v>220</v>
      </c>
    </row>
    <row r="2132" spans="1:2" x14ac:dyDescent="0.25">
      <c r="A2132" s="4"/>
      <c r="B2132" s="5" t="s">
        <v>164</v>
      </c>
    </row>
    <row r="2133" spans="1:2" x14ac:dyDescent="0.25">
      <c r="A2133" s="4"/>
      <c r="B2133" s="5"/>
    </row>
    <row r="2134" spans="1:2" x14ac:dyDescent="0.25">
      <c r="A2134" s="4"/>
      <c r="B2134" s="5"/>
    </row>
    <row r="2135" spans="1:2" x14ac:dyDescent="0.25">
      <c r="A2135" s="4"/>
      <c r="B2135" s="5"/>
    </row>
    <row r="2136" spans="1:2" x14ac:dyDescent="0.25">
      <c r="A2136" s="4"/>
      <c r="B2136" s="5"/>
    </row>
    <row r="2137" spans="1:2" ht="15.75" thickBot="1" x14ac:dyDescent="0.3">
      <c r="A2137" s="4"/>
      <c r="B2137" s="6"/>
    </row>
    <row r="2138" spans="1:2" ht="15.75" thickBot="1" x14ac:dyDescent="0.3">
      <c r="A2138" s="4"/>
      <c r="B2138" s="4"/>
    </row>
    <row r="2139" spans="1:2" ht="15.75" thickBot="1" x14ac:dyDescent="0.3">
      <c r="A2139" s="4"/>
      <c r="B2139" s="7" t="s">
        <v>322</v>
      </c>
    </row>
    <row r="2140" spans="1:2" x14ac:dyDescent="0.25">
      <c r="A2140" s="4"/>
      <c r="B2140" s="5" t="s">
        <v>220</v>
      </c>
    </row>
    <row r="2141" spans="1:2" x14ac:dyDescent="0.25">
      <c r="A2141" s="4"/>
      <c r="B2141" s="5" t="s">
        <v>164</v>
      </c>
    </row>
    <row r="2142" spans="1:2" x14ac:dyDescent="0.25">
      <c r="A2142" s="4"/>
      <c r="B2142" s="5" t="s">
        <v>429</v>
      </c>
    </row>
    <row r="2143" spans="1:2" x14ac:dyDescent="0.25">
      <c r="A2143" s="4"/>
      <c r="B2143" s="5"/>
    </row>
    <row r="2144" spans="1:2" x14ac:dyDescent="0.25">
      <c r="A2144" s="4"/>
      <c r="B2144" s="5"/>
    </row>
    <row r="2145" spans="1:2" x14ac:dyDescent="0.25">
      <c r="A2145" s="4"/>
      <c r="B2145" s="5"/>
    </row>
    <row r="2146" spans="1:2" x14ac:dyDescent="0.25">
      <c r="A2146" s="4"/>
      <c r="B2146" s="5"/>
    </row>
    <row r="2147" spans="1:2" x14ac:dyDescent="0.25">
      <c r="A2147" s="4"/>
      <c r="B2147" s="5"/>
    </row>
    <row r="2148" spans="1:2" x14ac:dyDescent="0.25">
      <c r="A2148" s="4"/>
      <c r="B2148" s="5"/>
    </row>
    <row r="2149" spans="1:2" ht="15.75" thickBot="1" x14ac:dyDescent="0.3">
      <c r="A2149" s="4"/>
      <c r="B2149" s="6"/>
    </row>
    <row r="2150" spans="1:2" ht="15.75" thickBot="1" x14ac:dyDescent="0.3">
      <c r="A2150" s="4"/>
      <c r="B2150" s="4"/>
    </row>
    <row r="2151" spans="1:2" ht="15.75" thickBot="1" x14ac:dyDescent="0.3">
      <c r="A2151" s="4"/>
      <c r="B2151" s="7" t="s">
        <v>323</v>
      </c>
    </row>
    <row r="2152" spans="1:2" x14ac:dyDescent="0.25">
      <c r="A2152" s="4"/>
      <c r="B2152" s="5" t="s">
        <v>429</v>
      </c>
    </row>
    <row r="2153" spans="1:2" x14ac:dyDescent="0.25">
      <c r="A2153" s="4"/>
      <c r="B2153" s="5" t="s">
        <v>158</v>
      </c>
    </row>
    <row r="2154" spans="1:2" x14ac:dyDescent="0.25">
      <c r="A2154" s="4"/>
      <c r="B2154" s="5" t="s">
        <v>159</v>
      </c>
    </row>
    <row r="2155" spans="1:2" x14ac:dyDescent="0.25">
      <c r="A2155" s="4"/>
      <c r="B2155" s="5" t="s">
        <v>220</v>
      </c>
    </row>
    <row r="2156" spans="1:2" x14ac:dyDescent="0.25">
      <c r="A2156" s="4"/>
      <c r="B2156" s="5" t="s">
        <v>164</v>
      </c>
    </row>
    <row r="2157" spans="1:2" x14ac:dyDescent="0.25">
      <c r="A2157" s="4"/>
      <c r="B2157" s="5"/>
    </row>
    <row r="2158" spans="1:2" x14ac:dyDescent="0.25">
      <c r="A2158" s="4"/>
      <c r="B2158" s="5"/>
    </row>
    <row r="2159" spans="1:2" x14ac:dyDescent="0.25">
      <c r="A2159" s="4"/>
      <c r="B2159" s="5"/>
    </row>
    <row r="2160" spans="1:2" x14ac:dyDescent="0.25">
      <c r="A2160" s="4"/>
      <c r="B2160" s="5"/>
    </row>
    <row r="2161" spans="1:2" ht="15.75" thickBot="1" x14ac:dyDescent="0.3">
      <c r="A2161" s="4"/>
      <c r="B2161" s="6"/>
    </row>
    <row r="2162" spans="1:2" ht="15.75" thickBot="1" x14ac:dyDescent="0.3">
      <c r="A2162" s="4"/>
      <c r="B2162" s="4"/>
    </row>
    <row r="2163" spans="1:2" ht="15.75" thickBot="1" x14ac:dyDescent="0.3">
      <c r="A2163" s="4"/>
      <c r="B2163" s="7" t="s">
        <v>691</v>
      </c>
    </row>
    <row r="2164" spans="1:2" x14ac:dyDescent="0.25">
      <c r="A2164" s="4"/>
      <c r="B2164" s="5" t="s">
        <v>158</v>
      </c>
    </row>
    <row r="2165" spans="1:2" x14ac:dyDescent="0.25">
      <c r="A2165" s="4"/>
      <c r="B2165" s="5" t="s">
        <v>159</v>
      </c>
    </row>
    <row r="2166" spans="1:2" x14ac:dyDescent="0.25">
      <c r="A2166" s="4"/>
      <c r="B2166" s="5" t="s">
        <v>220</v>
      </c>
    </row>
    <row r="2167" spans="1:2" x14ac:dyDescent="0.25">
      <c r="A2167" s="4"/>
      <c r="B2167" s="5" t="s">
        <v>164</v>
      </c>
    </row>
    <row r="2168" spans="1:2" x14ac:dyDescent="0.25">
      <c r="A2168" s="4"/>
      <c r="B2168" s="5" t="s">
        <v>429</v>
      </c>
    </row>
    <row r="2169" spans="1:2" x14ac:dyDescent="0.25">
      <c r="A2169" s="4"/>
      <c r="B2169" s="5"/>
    </row>
    <row r="2170" spans="1:2" x14ac:dyDescent="0.25">
      <c r="A2170" s="4"/>
      <c r="B2170" s="5"/>
    </row>
    <row r="2171" spans="1:2" x14ac:dyDescent="0.25">
      <c r="A2171" s="4"/>
      <c r="B2171" s="5"/>
    </row>
    <row r="2172" spans="1:2" x14ac:dyDescent="0.25">
      <c r="A2172" s="4"/>
      <c r="B2172" s="5"/>
    </row>
    <row r="2173" spans="1:2" ht="15.75" thickBot="1" x14ac:dyDescent="0.3">
      <c r="A2173" s="4"/>
      <c r="B2173" s="6"/>
    </row>
    <row r="2174" spans="1:2" ht="15.75" thickBot="1" x14ac:dyDescent="0.3">
      <c r="A2174" s="4"/>
      <c r="B2174" s="4"/>
    </row>
    <row r="2175" spans="1:2" ht="15.75" thickBot="1" x14ac:dyDescent="0.3">
      <c r="A2175" s="4"/>
      <c r="B2175" s="7" t="s">
        <v>324</v>
      </c>
    </row>
    <row r="2176" spans="1:2" x14ac:dyDescent="0.25">
      <c r="A2176" s="4"/>
      <c r="B2176" s="5" t="s">
        <v>429</v>
      </c>
    </row>
    <row r="2177" spans="1:2" x14ac:dyDescent="0.25">
      <c r="A2177" s="4"/>
      <c r="B2177" s="5" t="s">
        <v>158</v>
      </c>
    </row>
    <row r="2178" spans="1:2" x14ac:dyDescent="0.25">
      <c r="A2178" s="4"/>
      <c r="B2178" s="5" t="s">
        <v>159</v>
      </c>
    </row>
    <row r="2179" spans="1:2" x14ac:dyDescent="0.25">
      <c r="A2179" s="4"/>
      <c r="B2179" s="5" t="s">
        <v>220</v>
      </c>
    </row>
    <row r="2180" spans="1:2" x14ac:dyDescent="0.25">
      <c r="A2180" s="4"/>
      <c r="B2180" s="5" t="s">
        <v>164</v>
      </c>
    </row>
    <row r="2181" spans="1:2" x14ac:dyDescent="0.25">
      <c r="A2181" s="4"/>
      <c r="B2181" s="5"/>
    </row>
    <row r="2182" spans="1:2" x14ac:dyDescent="0.25">
      <c r="A2182" s="4"/>
      <c r="B2182" s="5"/>
    </row>
    <row r="2183" spans="1:2" x14ac:dyDescent="0.25">
      <c r="A2183" s="4"/>
      <c r="B2183" s="5"/>
    </row>
    <row r="2184" spans="1:2" x14ac:dyDescent="0.25">
      <c r="A2184" s="4"/>
      <c r="B2184" s="5"/>
    </row>
    <row r="2185" spans="1:2" ht="15.75" thickBot="1" x14ac:dyDescent="0.3">
      <c r="A2185" s="4"/>
      <c r="B2185" s="6"/>
    </row>
    <row r="2186" spans="1:2" ht="15.75" thickBot="1" x14ac:dyDescent="0.3">
      <c r="A2186" s="4"/>
      <c r="B2186" s="4"/>
    </row>
    <row r="2187" spans="1:2" ht="15.75" thickBot="1" x14ac:dyDescent="0.3">
      <c r="A2187" s="4"/>
      <c r="B2187" s="7" t="s">
        <v>325</v>
      </c>
    </row>
    <row r="2188" spans="1:2" x14ac:dyDescent="0.25">
      <c r="A2188" s="4"/>
      <c r="B2188" s="5" t="s">
        <v>220</v>
      </c>
    </row>
    <row r="2189" spans="1:2" x14ac:dyDescent="0.25">
      <c r="A2189" s="4"/>
      <c r="B2189" s="5" t="s">
        <v>164</v>
      </c>
    </row>
    <row r="2190" spans="1:2" x14ac:dyDescent="0.25">
      <c r="A2190" s="4"/>
      <c r="B2190" s="5" t="s">
        <v>429</v>
      </c>
    </row>
    <row r="2191" spans="1:2" x14ac:dyDescent="0.25">
      <c r="A2191" s="4"/>
      <c r="B2191" s="5"/>
    </row>
    <row r="2192" spans="1:2" x14ac:dyDescent="0.25">
      <c r="A2192" s="4"/>
      <c r="B2192" s="5"/>
    </row>
    <row r="2193" spans="1:2" x14ac:dyDescent="0.25">
      <c r="A2193" s="4"/>
      <c r="B2193" s="5"/>
    </row>
    <row r="2194" spans="1:2" x14ac:dyDescent="0.25">
      <c r="A2194" s="4"/>
      <c r="B2194" s="5"/>
    </row>
    <row r="2195" spans="1:2" x14ac:dyDescent="0.25">
      <c r="A2195" s="4"/>
      <c r="B2195" s="5"/>
    </row>
    <row r="2196" spans="1:2" x14ac:dyDescent="0.25">
      <c r="A2196" s="4"/>
      <c r="B2196" s="5"/>
    </row>
    <row r="2197" spans="1:2" ht="15.75" thickBot="1" x14ac:dyDescent="0.3">
      <c r="A2197" s="4"/>
      <c r="B2197" s="6"/>
    </row>
    <row r="2198" spans="1:2" ht="15.75" thickBot="1" x14ac:dyDescent="0.3">
      <c r="A2198" s="4"/>
      <c r="B2198" s="4"/>
    </row>
    <row r="2199" spans="1:2" ht="15.75" thickBot="1" x14ac:dyDescent="0.3">
      <c r="A2199" s="4"/>
      <c r="B2199" s="7" t="s">
        <v>326</v>
      </c>
    </row>
    <row r="2200" spans="1:2" x14ac:dyDescent="0.25">
      <c r="A2200" s="4"/>
      <c r="B2200" s="5" t="s">
        <v>158</v>
      </c>
    </row>
    <row r="2201" spans="1:2" x14ac:dyDescent="0.25">
      <c r="A2201" s="4"/>
      <c r="B2201" s="5" t="s">
        <v>159</v>
      </c>
    </row>
    <row r="2202" spans="1:2" x14ac:dyDescent="0.25">
      <c r="A2202" s="4"/>
      <c r="B2202" s="5" t="s">
        <v>220</v>
      </c>
    </row>
    <row r="2203" spans="1:2" x14ac:dyDescent="0.25">
      <c r="A2203" s="4"/>
      <c r="B2203" s="5" t="s">
        <v>164</v>
      </c>
    </row>
    <row r="2204" spans="1:2" x14ac:dyDescent="0.25">
      <c r="A2204" s="4"/>
      <c r="B2204" s="5" t="s">
        <v>429</v>
      </c>
    </row>
    <row r="2205" spans="1:2" x14ac:dyDescent="0.25">
      <c r="A2205" s="4"/>
      <c r="B2205" s="5"/>
    </row>
    <row r="2206" spans="1:2" x14ac:dyDescent="0.25">
      <c r="A2206" s="4"/>
      <c r="B2206" s="5"/>
    </row>
    <row r="2207" spans="1:2" x14ac:dyDescent="0.25">
      <c r="A2207" s="4"/>
      <c r="B2207" s="5"/>
    </row>
    <row r="2208" spans="1:2" x14ac:dyDescent="0.25">
      <c r="A2208" s="4"/>
      <c r="B2208" s="5"/>
    </row>
    <row r="2209" spans="1:2" ht="15.75" thickBot="1" x14ac:dyDescent="0.3">
      <c r="A2209" s="4"/>
      <c r="B2209" s="6"/>
    </row>
    <row r="2210" spans="1:2" ht="15.75" thickBot="1" x14ac:dyDescent="0.3">
      <c r="A2210" s="4"/>
      <c r="B2210" s="4"/>
    </row>
    <row r="2211" spans="1:2" ht="15.75" thickBot="1" x14ac:dyDescent="0.3">
      <c r="A2211" s="4"/>
      <c r="B2211" s="7" t="s">
        <v>701</v>
      </c>
    </row>
    <row r="2212" spans="1:2" x14ac:dyDescent="0.25">
      <c r="A2212" s="4"/>
      <c r="B2212" s="5" t="s">
        <v>157</v>
      </c>
    </row>
    <row r="2213" spans="1:2" x14ac:dyDescent="0.25">
      <c r="A2213" s="4"/>
      <c r="B2213" s="5" t="s">
        <v>158</v>
      </c>
    </row>
    <row r="2214" spans="1:2" x14ac:dyDescent="0.25">
      <c r="A2214" s="4"/>
      <c r="B2214" s="5" t="s">
        <v>159</v>
      </c>
    </row>
    <row r="2215" spans="1:2" x14ac:dyDescent="0.25">
      <c r="A2215" s="4"/>
      <c r="B2215" s="5" t="s">
        <v>220</v>
      </c>
    </row>
    <row r="2216" spans="1:2" x14ac:dyDescent="0.25">
      <c r="A2216" s="4"/>
      <c r="B2216" s="5" t="s">
        <v>164</v>
      </c>
    </row>
    <row r="2217" spans="1:2" x14ac:dyDescent="0.25">
      <c r="A2217" s="4"/>
      <c r="B2217" s="5" t="s">
        <v>430</v>
      </c>
    </row>
    <row r="2218" spans="1:2" x14ac:dyDescent="0.25">
      <c r="A2218" s="4"/>
      <c r="B2218" s="5"/>
    </row>
    <row r="2219" spans="1:2" x14ac:dyDescent="0.25">
      <c r="A2219" s="4"/>
      <c r="B2219" s="5"/>
    </row>
    <row r="2220" spans="1:2" x14ac:dyDescent="0.25">
      <c r="A2220" s="4"/>
      <c r="B2220" s="5"/>
    </row>
    <row r="2221" spans="1:2" ht="15.75" thickBot="1" x14ac:dyDescent="0.3">
      <c r="A2221" s="4"/>
      <c r="B2221" s="6"/>
    </row>
    <row r="2222" spans="1:2" ht="15.75" thickBot="1" x14ac:dyDescent="0.3">
      <c r="A2222" s="4"/>
      <c r="B2222" s="4"/>
    </row>
    <row r="2223" spans="1:2" ht="15.75" thickBot="1" x14ac:dyDescent="0.3">
      <c r="A2223" s="4"/>
      <c r="B2223" s="7" t="s">
        <v>702</v>
      </c>
    </row>
    <row r="2224" spans="1:2" x14ac:dyDescent="0.25">
      <c r="A2224" s="4"/>
      <c r="B2224" s="5" t="s">
        <v>157</v>
      </c>
    </row>
    <row r="2225" spans="1:2" x14ac:dyDescent="0.25">
      <c r="A2225" s="4"/>
      <c r="B2225" s="5" t="s">
        <v>158</v>
      </c>
    </row>
    <row r="2226" spans="1:2" x14ac:dyDescent="0.25">
      <c r="A2226" s="4"/>
      <c r="B2226" s="5" t="s">
        <v>159</v>
      </c>
    </row>
    <row r="2227" spans="1:2" x14ac:dyDescent="0.25">
      <c r="A2227" s="4"/>
      <c r="B2227" s="5" t="s">
        <v>220</v>
      </c>
    </row>
    <row r="2228" spans="1:2" x14ac:dyDescent="0.25">
      <c r="A2228" s="4"/>
      <c r="B2228" s="5" t="s">
        <v>164</v>
      </c>
    </row>
    <row r="2229" spans="1:2" x14ac:dyDescent="0.25">
      <c r="A2229" s="4"/>
      <c r="B2229" s="5" t="s">
        <v>430</v>
      </c>
    </row>
    <row r="2230" spans="1:2" x14ac:dyDescent="0.25">
      <c r="A2230" s="4"/>
      <c r="B2230" s="5"/>
    </row>
    <row r="2231" spans="1:2" x14ac:dyDescent="0.25">
      <c r="A2231" s="4"/>
      <c r="B2231" s="5"/>
    </row>
    <row r="2232" spans="1:2" x14ac:dyDescent="0.25">
      <c r="A2232" s="4"/>
      <c r="B2232" s="5"/>
    </row>
    <row r="2233" spans="1:2" ht="15.75" thickBot="1" x14ac:dyDescent="0.3">
      <c r="A2233" s="4"/>
      <c r="B2233" s="6"/>
    </row>
    <row r="2234" spans="1:2" ht="15.75" thickBot="1" x14ac:dyDescent="0.3">
      <c r="A2234" s="4"/>
      <c r="B2234" s="4"/>
    </row>
    <row r="2235" spans="1:2" ht="15.75" thickBot="1" x14ac:dyDescent="0.3">
      <c r="A2235" s="4"/>
      <c r="B2235" s="7" t="s">
        <v>703</v>
      </c>
    </row>
    <row r="2236" spans="1:2" x14ac:dyDescent="0.25">
      <c r="A2236" s="4"/>
      <c r="B2236" s="5" t="s">
        <v>157</v>
      </c>
    </row>
    <row r="2237" spans="1:2" x14ac:dyDescent="0.25">
      <c r="A2237" s="4"/>
      <c r="B2237" s="5" t="s">
        <v>158</v>
      </c>
    </row>
    <row r="2238" spans="1:2" x14ac:dyDescent="0.25">
      <c r="A2238" s="4"/>
      <c r="B2238" s="5" t="s">
        <v>159</v>
      </c>
    </row>
    <row r="2239" spans="1:2" x14ac:dyDescent="0.25">
      <c r="A2239" s="4"/>
      <c r="B2239" s="5" t="s">
        <v>220</v>
      </c>
    </row>
    <row r="2240" spans="1:2" x14ac:dyDescent="0.25">
      <c r="A2240" s="4"/>
      <c r="B2240" s="5" t="s">
        <v>164</v>
      </c>
    </row>
    <row r="2241" spans="1:2" x14ac:dyDescent="0.25">
      <c r="A2241" s="4"/>
      <c r="B2241" s="5" t="s">
        <v>430</v>
      </c>
    </row>
    <row r="2242" spans="1:2" x14ac:dyDescent="0.25">
      <c r="A2242" s="4"/>
      <c r="B2242" s="5"/>
    </row>
    <row r="2243" spans="1:2" x14ac:dyDescent="0.25">
      <c r="A2243" s="4"/>
      <c r="B2243" s="5"/>
    </row>
    <row r="2244" spans="1:2" x14ac:dyDescent="0.25">
      <c r="A2244" s="4"/>
      <c r="B2244" s="5"/>
    </row>
    <row r="2245" spans="1:2" ht="15.75" thickBot="1" x14ac:dyDescent="0.3">
      <c r="A2245" s="4"/>
      <c r="B2245" s="6"/>
    </row>
    <row r="2246" spans="1:2" ht="15.75" thickBot="1" x14ac:dyDescent="0.3">
      <c r="A2246" s="4"/>
      <c r="B2246" s="4"/>
    </row>
    <row r="2247" spans="1:2" ht="15.75" thickBot="1" x14ac:dyDescent="0.3">
      <c r="A2247" s="4"/>
      <c r="B2247" s="7" t="s">
        <v>327</v>
      </c>
    </row>
    <row r="2248" spans="1:2" x14ac:dyDescent="0.25">
      <c r="A2248" s="4"/>
      <c r="B2248" s="5" t="s">
        <v>157</v>
      </c>
    </row>
    <row r="2249" spans="1:2" x14ac:dyDescent="0.25">
      <c r="A2249" s="4"/>
      <c r="B2249" s="5" t="s">
        <v>158</v>
      </c>
    </row>
    <row r="2250" spans="1:2" x14ac:dyDescent="0.25">
      <c r="A2250" s="4"/>
      <c r="B2250" s="5" t="s">
        <v>159</v>
      </c>
    </row>
    <row r="2251" spans="1:2" x14ac:dyDescent="0.25">
      <c r="A2251" s="4"/>
      <c r="B2251" s="5" t="s">
        <v>220</v>
      </c>
    </row>
    <row r="2252" spans="1:2" x14ac:dyDescent="0.25">
      <c r="A2252" s="4"/>
      <c r="B2252" s="5" t="s">
        <v>164</v>
      </c>
    </row>
    <row r="2253" spans="1:2" x14ac:dyDescent="0.25">
      <c r="A2253" s="4"/>
      <c r="B2253" s="5" t="s">
        <v>430</v>
      </c>
    </row>
    <row r="2254" spans="1:2" x14ac:dyDescent="0.25">
      <c r="A2254" s="4"/>
      <c r="B2254" s="5"/>
    </row>
    <row r="2255" spans="1:2" x14ac:dyDescent="0.25">
      <c r="A2255" s="4"/>
      <c r="B2255" s="5"/>
    </row>
    <row r="2256" spans="1:2" x14ac:dyDescent="0.25">
      <c r="A2256" s="4"/>
      <c r="B2256" s="5"/>
    </row>
    <row r="2257" spans="1:2" ht="15.75" thickBot="1" x14ac:dyDescent="0.3">
      <c r="A2257" s="4"/>
      <c r="B2257" s="6"/>
    </row>
    <row r="2258" spans="1:2" ht="15.75" thickBot="1" x14ac:dyDescent="0.3">
      <c r="A2258" s="4"/>
      <c r="B2258" s="4"/>
    </row>
    <row r="2259" spans="1:2" ht="15.75" thickBot="1" x14ac:dyDescent="0.3">
      <c r="A2259" s="4"/>
      <c r="B2259" s="7" t="s">
        <v>328</v>
      </c>
    </row>
    <row r="2260" spans="1:2" x14ac:dyDescent="0.25">
      <c r="A2260" s="4"/>
      <c r="B2260" s="5" t="s">
        <v>157</v>
      </c>
    </row>
    <row r="2261" spans="1:2" x14ac:dyDescent="0.25">
      <c r="A2261" s="4"/>
      <c r="B2261" s="5" t="s">
        <v>158</v>
      </c>
    </row>
    <row r="2262" spans="1:2" x14ac:dyDescent="0.25">
      <c r="A2262" s="4"/>
      <c r="B2262" s="5" t="s">
        <v>159</v>
      </c>
    </row>
    <row r="2263" spans="1:2" x14ac:dyDescent="0.25">
      <c r="A2263" s="4"/>
      <c r="B2263" s="5" t="s">
        <v>220</v>
      </c>
    </row>
    <row r="2264" spans="1:2" x14ac:dyDescent="0.25">
      <c r="A2264" s="4"/>
      <c r="B2264" s="5" t="s">
        <v>664</v>
      </c>
    </row>
    <row r="2265" spans="1:2" x14ac:dyDescent="0.25">
      <c r="A2265" s="4"/>
      <c r="B2265" s="5" t="s">
        <v>164</v>
      </c>
    </row>
    <row r="2266" spans="1:2" x14ac:dyDescent="0.25">
      <c r="A2266" s="4"/>
      <c r="B2266" s="5" t="s">
        <v>194</v>
      </c>
    </row>
    <row r="2267" spans="1:2" x14ac:dyDescent="0.25">
      <c r="A2267" s="4"/>
      <c r="B2267" s="5" t="s">
        <v>155</v>
      </c>
    </row>
    <row r="2268" spans="1:2" x14ac:dyDescent="0.25">
      <c r="A2268" s="4"/>
      <c r="B2268" s="5"/>
    </row>
    <row r="2269" spans="1:2" ht="15.75" thickBot="1" x14ac:dyDescent="0.3">
      <c r="A2269" s="4"/>
      <c r="B2269" s="6"/>
    </row>
    <row r="2270" spans="1:2" ht="15.75" thickBot="1" x14ac:dyDescent="0.3">
      <c r="A2270" s="4"/>
      <c r="B2270" s="4"/>
    </row>
    <row r="2271" spans="1:2" ht="15.75" thickBot="1" x14ac:dyDescent="0.3">
      <c r="A2271" s="4"/>
      <c r="B2271" s="7" t="s">
        <v>329</v>
      </c>
    </row>
    <row r="2272" spans="1:2" x14ac:dyDescent="0.25">
      <c r="A2272" s="4"/>
      <c r="B2272" s="5" t="s">
        <v>157</v>
      </c>
    </row>
    <row r="2273" spans="1:2" x14ac:dyDescent="0.25">
      <c r="A2273" s="4"/>
      <c r="B2273" s="5" t="s">
        <v>220</v>
      </c>
    </row>
    <row r="2274" spans="1:2" x14ac:dyDescent="0.25">
      <c r="A2274" s="4"/>
      <c r="B2274" s="5" t="s">
        <v>164</v>
      </c>
    </row>
    <row r="2275" spans="1:2" x14ac:dyDescent="0.25">
      <c r="A2275" s="4"/>
      <c r="B2275" s="5" t="s">
        <v>155</v>
      </c>
    </row>
    <row r="2276" spans="1:2" x14ac:dyDescent="0.25">
      <c r="A2276" s="4"/>
      <c r="B2276" s="5"/>
    </row>
    <row r="2277" spans="1:2" x14ac:dyDescent="0.25">
      <c r="A2277" s="4"/>
      <c r="B2277" s="5"/>
    </row>
    <row r="2278" spans="1:2" x14ac:dyDescent="0.25">
      <c r="A2278" s="4"/>
      <c r="B2278" s="5"/>
    </row>
    <row r="2279" spans="1:2" x14ac:dyDescent="0.25">
      <c r="A2279" s="4"/>
      <c r="B2279" s="5"/>
    </row>
    <row r="2280" spans="1:2" x14ac:dyDescent="0.25">
      <c r="A2280" s="4"/>
      <c r="B2280" s="5"/>
    </row>
    <row r="2281" spans="1:2" ht="15.75" thickBot="1" x14ac:dyDescent="0.3">
      <c r="A2281" s="4"/>
      <c r="B2281" s="6"/>
    </row>
    <row r="2282" spans="1:2" ht="15.75" thickBot="1" x14ac:dyDescent="0.3">
      <c r="A2282" s="4"/>
      <c r="B2282" s="4"/>
    </row>
    <row r="2283" spans="1:2" ht="15.75" thickBot="1" x14ac:dyDescent="0.3">
      <c r="A2283" s="4"/>
      <c r="B2283" s="7" t="s">
        <v>330</v>
      </c>
    </row>
    <row r="2284" spans="1:2" x14ac:dyDescent="0.25">
      <c r="A2284" s="4"/>
      <c r="B2284" s="5" t="s">
        <v>157</v>
      </c>
    </row>
    <row r="2285" spans="1:2" x14ac:dyDescent="0.25">
      <c r="A2285" s="4"/>
      <c r="B2285" s="5" t="s">
        <v>158</v>
      </c>
    </row>
    <row r="2286" spans="1:2" x14ac:dyDescent="0.25">
      <c r="A2286" s="4"/>
      <c r="B2286" s="5" t="s">
        <v>159</v>
      </c>
    </row>
    <row r="2287" spans="1:2" x14ac:dyDescent="0.25">
      <c r="A2287" s="4"/>
      <c r="B2287" s="5" t="s">
        <v>220</v>
      </c>
    </row>
    <row r="2288" spans="1:2" x14ac:dyDescent="0.25">
      <c r="A2288" s="4"/>
      <c r="B2288" s="5" t="s">
        <v>664</v>
      </c>
    </row>
    <row r="2289" spans="1:2" x14ac:dyDescent="0.25">
      <c r="A2289" s="4"/>
      <c r="B2289" s="5" t="s">
        <v>164</v>
      </c>
    </row>
    <row r="2290" spans="1:2" x14ac:dyDescent="0.25">
      <c r="A2290" s="4"/>
      <c r="B2290" s="5" t="s">
        <v>194</v>
      </c>
    </row>
    <row r="2291" spans="1:2" x14ac:dyDescent="0.25">
      <c r="A2291" s="4"/>
      <c r="B2291" s="5" t="s">
        <v>155</v>
      </c>
    </row>
    <row r="2292" spans="1:2" x14ac:dyDescent="0.25">
      <c r="A2292" s="4"/>
      <c r="B2292" s="5"/>
    </row>
    <row r="2293" spans="1:2" ht="15.75" thickBot="1" x14ac:dyDescent="0.3">
      <c r="A2293" s="4"/>
      <c r="B2293" s="6"/>
    </row>
    <row r="2294" spans="1:2" ht="15.75" thickBot="1" x14ac:dyDescent="0.3">
      <c r="A2294" s="4"/>
      <c r="B2294" s="4"/>
    </row>
    <row r="2295" spans="1:2" ht="15.75" thickBot="1" x14ac:dyDescent="0.3">
      <c r="A2295" s="4"/>
      <c r="B2295" s="7" t="s">
        <v>331</v>
      </c>
    </row>
    <row r="2296" spans="1:2" x14ac:dyDescent="0.25">
      <c r="A2296" s="4"/>
      <c r="B2296" s="5" t="s">
        <v>157</v>
      </c>
    </row>
    <row r="2297" spans="1:2" x14ac:dyDescent="0.25">
      <c r="A2297" s="4"/>
      <c r="B2297" s="5" t="s">
        <v>158</v>
      </c>
    </row>
    <row r="2298" spans="1:2" x14ac:dyDescent="0.25">
      <c r="A2298" s="4"/>
      <c r="B2298" s="5" t="s">
        <v>159</v>
      </c>
    </row>
    <row r="2299" spans="1:2" x14ac:dyDescent="0.25">
      <c r="A2299" s="4"/>
      <c r="B2299" s="5" t="s">
        <v>220</v>
      </c>
    </row>
    <row r="2300" spans="1:2" x14ac:dyDescent="0.25">
      <c r="A2300" s="4"/>
      <c r="B2300" s="5" t="s">
        <v>664</v>
      </c>
    </row>
    <row r="2301" spans="1:2" x14ac:dyDescent="0.25">
      <c r="A2301" s="4"/>
      <c r="B2301" s="5" t="s">
        <v>164</v>
      </c>
    </row>
    <row r="2302" spans="1:2" x14ac:dyDescent="0.25">
      <c r="A2302" s="4"/>
      <c r="B2302" s="5" t="s">
        <v>194</v>
      </c>
    </row>
    <row r="2303" spans="1:2" x14ac:dyDescent="0.25">
      <c r="A2303" s="4"/>
      <c r="B2303" s="5" t="s">
        <v>155</v>
      </c>
    </row>
    <row r="2304" spans="1:2" x14ac:dyDescent="0.25">
      <c r="A2304" s="4"/>
      <c r="B2304" s="5"/>
    </row>
    <row r="2305" spans="1:2" ht="15.75" thickBot="1" x14ac:dyDescent="0.3">
      <c r="A2305" s="4"/>
      <c r="B2305" s="6"/>
    </row>
    <row r="2306" spans="1:2" ht="15.75" thickBot="1" x14ac:dyDescent="0.3">
      <c r="A2306" s="4"/>
      <c r="B2306" s="4"/>
    </row>
    <row r="2307" spans="1:2" ht="15.75" thickBot="1" x14ac:dyDescent="0.3">
      <c r="A2307" s="4"/>
      <c r="B2307" s="7" t="s">
        <v>332</v>
      </c>
    </row>
    <row r="2308" spans="1:2" x14ac:dyDescent="0.25">
      <c r="A2308" s="4"/>
      <c r="B2308" s="5" t="s">
        <v>157</v>
      </c>
    </row>
    <row r="2309" spans="1:2" x14ac:dyDescent="0.25">
      <c r="A2309" s="4"/>
      <c r="B2309" s="5" t="s">
        <v>158</v>
      </c>
    </row>
    <row r="2310" spans="1:2" x14ac:dyDescent="0.25">
      <c r="A2310" s="4"/>
      <c r="B2310" s="5" t="s">
        <v>159</v>
      </c>
    </row>
    <row r="2311" spans="1:2" x14ac:dyDescent="0.25">
      <c r="A2311" s="4"/>
      <c r="B2311" s="5" t="s">
        <v>220</v>
      </c>
    </row>
    <row r="2312" spans="1:2" x14ac:dyDescent="0.25">
      <c r="A2312" s="4"/>
      <c r="B2312" s="5" t="s">
        <v>664</v>
      </c>
    </row>
    <row r="2313" spans="1:2" x14ac:dyDescent="0.25">
      <c r="A2313" s="4"/>
      <c r="B2313" s="5" t="s">
        <v>164</v>
      </c>
    </row>
    <row r="2314" spans="1:2" x14ac:dyDescent="0.25">
      <c r="A2314" s="4"/>
      <c r="B2314" s="5" t="s">
        <v>194</v>
      </c>
    </row>
    <row r="2315" spans="1:2" x14ac:dyDescent="0.25">
      <c r="A2315" s="4"/>
      <c r="B2315" s="5" t="s">
        <v>155</v>
      </c>
    </row>
    <row r="2316" spans="1:2" x14ac:dyDescent="0.25">
      <c r="A2316" s="4"/>
      <c r="B2316" s="5"/>
    </row>
    <row r="2317" spans="1:2" ht="15.75" thickBot="1" x14ac:dyDescent="0.3">
      <c r="A2317" s="4"/>
      <c r="B2317" s="6"/>
    </row>
    <row r="2318" spans="1:2" ht="15.75" thickBot="1" x14ac:dyDescent="0.3">
      <c r="A2318" s="4"/>
      <c r="B2318" s="4"/>
    </row>
    <row r="2319" spans="1:2" ht="15.75" thickBot="1" x14ac:dyDescent="0.3">
      <c r="A2319" s="4"/>
      <c r="B2319" s="7" t="s">
        <v>333</v>
      </c>
    </row>
    <row r="2320" spans="1:2" x14ac:dyDescent="0.25">
      <c r="A2320" s="4"/>
      <c r="B2320" s="5" t="s">
        <v>157</v>
      </c>
    </row>
    <row r="2321" spans="1:2" x14ac:dyDescent="0.25">
      <c r="A2321" s="4"/>
      <c r="B2321" s="5" t="s">
        <v>220</v>
      </c>
    </row>
    <row r="2322" spans="1:2" x14ac:dyDescent="0.25">
      <c r="A2322" s="4"/>
      <c r="B2322" s="5" t="s">
        <v>664</v>
      </c>
    </row>
    <row r="2323" spans="1:2" x14ac:dyDescent="0.25">
      <c r="A2323" s="4"/>
      <c r="B2323" s="5" t="s">
        <v>164</v>
      </c>
    </row>
    <row r="2324" spans="1:2" x14ac:dyDescent="0.25">
      <c r="A2324" s="4"/>
      <c r="B2324" s="5" t="s">
        <v>194</v>
      </c>
    </row>
    <row r="2325" spans="1:2" x14ac:dyDescent="0.25">
      <c r="A2325" s="4"/>
      <c r="B2325" s="5" t="s">
        <v>155</v>
      </c>
    </row>
    <row r="2326" spans="1:2" x14ac:dyDescent="0.25">
      <c r="A2326" s="4"/>
      <c r="B2326" s="5"/>
    </row>
    <row r="2327" spans="1:2" x14ac:dyDescent="0.25">
      <c r="A2327" s="4"/>
      <c r="B2327" s="5"/>
    </row>
    <row r="2328" spans="1:2" x14ac:dyDescent="0.25">
      <c r="A2328" s="4"/>
      <c r="B2328" s="5"/>
    </row>
    <row r="2329" spans="1:2" ht="15.75" thickBot="1" x14ac:dyDescent="0.3">
      <c r="A2329" s="4"/>
      <c r="B2329" s="6"/>
    </row>
    <row r="2330" spans="1:2" ht="15.75" thickBot="1" x14ac:dyDescent="0.3">
      <c r="A2330" s="4"/>
      <c r="B2330" s="4"/>
    </row>
    <row r="2331" spans="1:2" ht="15.75" thickBot="1" x14ac:dyDescent="0.3">
      <c r="A2331" s="4"/>
      <c r="B2331" s="7" t="s">
        <v>334</v>
      </c>
    </row>
    <row r="2332" spans="1:2" x14ac:dyDescent="0.25">
      <c r="A2332" s="4"/>
      <c r="B2332" s="5" t="s">
        <v>157</v>
      </c>
    </row>
    <row r="2333" spans="1:2" x14ac:dyDescent="0.25">
      <c r="A2333" s="4"/>
      <c r="B2333" s="5" t="s">
        <v>158</v>
      </c>
    </row>
    <row r="2334" spans="1:2" x14ac:dyDescent="0.25">
      <c r="A2334" s="4"/>
      <c r="B2334" s="5" t="s">
        <v>159</v>
      </c>
    </row>
    <row r="2335" spans="1:2" x14ac:dyDescent="0.25">
      <c r="A2335" s="4"/>
      <c r="B2335" s="5" t="s">
        <v>220</v>
      </c>
    </row>
    <row r="2336" spans="1:2" x14ac:dyDescent="0.25">
      <c r="A2336" s="4"/>
      <c r="B2336" s="5" t="s">
        <v>664</v>
      </c>
    </row>
    <row r="2337" spans="1:2" x14ac:dyDescent="0.25">
      <c r="A2337" s="4"/>
      <c r="B2337" s="5" t="s">
        <v>164</v>
      </c>
    </row>
    <row r="2338" spans="1:2" x14ac:dyDescent="0.25">
      <c r="A2338" s="4"/>
      <c r="B2338" s="5" t="s">
        <v>194</v>
      </c>
    </row>
    <row r="2339" spans="1:2" x14ac:dyDescent="0.25">
      <c r="A2339" s="4"/>
      <c r="B2339" s="5" t="s">
        <v>155</v>
      </c>
    </row>
    <row r="2340" spans="1:2" x14ac:dyDescent="0.25">
      <c r="A2340" s="4"/>
      <c r="B2340" s="5"/>
    </row>
    <row r="2341" spans="1:2" ht="15.75" thickBot="1" x14ac:dyDescent="0.3">
      <c r="A2341" s="4"/>
      <c r="B2341" s="6"/>
    </row>
    <row r="2342" spans="1:2" ht="15.75" thickBot="1" x14ac:dyDescent="0.3">
      <c r="A2342" s="4"/>
      <c r="B2342" s="4"/>
    </row>
    <row r="2343" spans="1:2" ht="15.75" thickBot="1" x14ac:dyDescent="0.3">
      <c r="A2343" s="4"/>
      <c r="B2343" s="7" t="s">
        <v>335</v>
      </c>
    </row>
    <row r="2344" spans="1:2" x14ac:dyDescent="0.25">
      <c r="A2344" s="4"/>
      <c r="B2344" s="5" t="s">
        <v>158</v>
      </c>
    </row>
    <row r="2345" spans="1:2" x14ac:dyDescent="0.25">
      <c r="A2345" s="4"/>
      <c r="B2345" s="5" t="s">
        <v>159</v>
      </c>
    </row>
    <row r="2346" spans="1:2" x14ac:dyDescent="0.25">
      <c r="A2346" s="4"/>
      <c r="B2346" s="5" t="s">
        <v>220</v>
      </c>
    </row>
    <row r="2347" spans="1:2" x14ac:dyDescent="0.25">
      <c r="A2347" s="4"/>
      <c r="B2347" s="5" t="s">
        <v>164</v>
      </c>
    </row>
    <row r="2348" spans="1:2" x14ac:dyDescent="0.25">
      <c r="A2348" s="4"/>
      <c r="B2348" s="5" t="s">
        <v>153</v>
      </c>
    </row>
    <row r="2349" spans="1:2" x14ac:dyDescent="0.25">
      <c r="A2349" s="4"/>
      <c r="B2349" s="5" t="s">
        <v>154</v>
      </c>
    </row>
    <row r="2350" spans="1:2" x14ac:dyDescent="0.25">
      <c r="A2350" s="4"/>
      <c r="B2350" s="5"/>
    </row>
    <row r="2351" spans="1:2" x14ac:dyDescent="0.25">
      <c r="A2351" s="4"/>
      <c r="B2351" s="5"/>
    </row>
    <row r="2352" spans="1:2" x14ac:dyDescent="0.25">
      <c r="A2352" s="4"/>
      <c r="B2352" s="5"/>
    </row>
    <row r="2353" spans="1:2" ht="15.75" thickBot="1" x14ac:dyDescent="0.3">
      <c r="A2353" s="4"/>
      <c r="B2353" s="6"/>
    </row>
    <row r="2354" spans="1:2" ht="15.75" thickBot="1" x14ac:dyDescent="0.3">
      <c r="A2354" s="4"/>
      <c r="B2354" s="4"/>
    </row>
    <row r="2355" spans="1:2" ht="15.75" thickBot="1" x14ac:dyDescent="0.3">
      <c r="A2355" s="4"/>
      <c r="B2355" s="7" t="s">
        <v>336</v>
      </c>
    </row>
    <row r="2356" spans="1:2" x14ac:dyDescent="0.25">
      <c r="A2356" s="4"/>
      <c r="B2356" s="5" t="s">
        <v>220</v>
      </c>
    </row>
    <row r="2357" spans="1:2" x14ac:dyDescent="0.25">
      <c r="A2357" s="4"/>
      <c r="B2357" s="5" t="s">
        <v>164</v>
      </c>
    </row>
    <row r="2358" spans="1:2" x14ac:dyDescent="0.25">
      <c r="A2358" s="4"/>
      <c r="B2358" s="5"/>
    </row>
    <row r="2359" spans="1:2" x14ac:dyDescent="0.25">
      <c r="A2359" s="4"/>
      <c r="B2359" s="5"/>
    </row>
    <row r="2360" spans="1:2" x14ac:dyDescent="0.25">
      <c r="A2360" s="4"/>
      <c r="B2360" s="5"/>
    </row>
    <row r="2361" spans="1:2" x14ac:dyDescent="0.25">
      <c r="A2361" s="4"/>
      <c r="B2361" s="5"/>
    </row>
    <row r="2362" spans="1:2" x14ac:dyDescent="0.25">
      <c r="A2362" s="4"/>
      <c r="B2362" s="5"/>
    </row>
    <row r="2363" spans="1:2" x14ac:dyDescent="0.25">
      <c r="A2363" s="4"/>
      <c r="B2363" s="5"/>
    </row>
    <row r="2364" spans="1:2" x14ac:dyDescent="0.25">
      <c r="A2364" s="4"/>
      <c r="B2364" s="5"/>
    </row>
    <row r="2365" spans="1:2" ht="15.75" thickBot="1" x14ac:dyDescent="0.3">
      <c r="A2365" s="4"/>
      <c r="B2365" s="6"/>
    </row>
    <row r="2366" spans="1:2" ht="15.75" thickBot="1" x14ac:dyDescent="0.3">
      <c r="A2366" s="4"/>
      <c r="B2366" s="4"/>
    </row>
    <row r="2367" spans="1:2" ht="15.75" thickBot="1" x14ac:dyDescent="0.3">
      <c r="A2367" s="4"/>
      <c r="B2367" s="7" t="s">
        <v>337</v>
      </c>
    </row>
    <row r="2368" spans="1:2" x14ac:dyDescent="0.25">
      <c r="A2368" s="4"/>
      <c r="B2368" s="5" t="s">
        <v>158</v>
      </c>
    </row>
    <row r="2369" spans="1:2" x14ac:dyDescent="0.25">
      <c r="A2369" s="4"/>
      <c r="B2369" s="5" t="s">
        <v>159</v>
      </c>
    </row>
    <row r="2370" spans="1:2" x14ac:dyDescent="0.25">
      <c r="A2370" s="4"/>
      <c r="B2370" s="5" t="s">
        <v>220</v>
      </c>
    </row>
    <row r="2371" spans="1:2" x14ac:dyDescent="0.25">
      <c r="A2371" s="4"/>
      <c r="B2371" s="5" t="s">
        <v>164</v>
      </c>
    </row>
    <row r="2372" spans="1:2" x14ac:dyDescent="0.25">
      <c r="A2372" s="4"/>
      <c r="B2372" s="5" t="s">
        <v>153</v>
      </c>
    </row>
    <row r="2373" spans="1:2" x14ac:dyDescent="0.25">
      <c r="A2373" s="4"/>
      <c r="B2373" s="5" t="s">
        <v>154</v>
      </c>
    </row>
    <row r="2374" spans="1:2" x14ac:dyDescent="0.25">
      <c r="A2374" s="4"/>
      <c r="B2374" s="5"/>
    </row>
    <row r="2375" spans="1:2" x14ac:dyDescent="0.25">
      <c r="A2375" s="4"/>
      <c r="B2375" s="5"/>
    </row>
    <row r="2376" spans="1:2" x14ac:dyDescent="0.25">
      <c r="A2376" s="4"/>
      <c r="B2376" s="5"/>
    </row>
    <row r="2377" spans="1:2" ht="15.75" thickBot="1" x14ac:dyDescent="0.3">
      <c r="A2377" s="4"/>
      <c r="B2377" s="6"/>
    </row>
    <row r="2378" spans="1:2" ht="15.75" thickBot="1" x14ac:dyDescent="0.3">
      <c r="A2378" s="4"/>
      <c r="B2378" s="4"/>
    </row>
    <row r="2379" spans="1:2" ht="15.75" thickBot="1" x14ac:dyDescent="0.3">
      <c r="A2379" s="4"/>
      <c r="B2379" s="7" t="s">
        <v>338</v>
      </c>
    </row>
    <row r="2380" spans="1:2" x14ac:dyDescent="0.25">
      <c r="A2380" s="4"/>
      <c r="B2380" s="5" t="s">
        <v>158</v>
      </c>
    </row>
    <row r="2381" spans="1:2" x14ac:dyDescent="0.25">
      <c r="A2381" s="4"/>
      <c r="B2381" s="5" t="s">
        <v>159</v>
      </c>
    </row>
    <row r="2382" spans="1:2" x14ac:dyDescent="0.25">
      <c r="A2382" s="4"/>
      <c r="B2382" s="5" t="s">
        <v>220</v>
      </c>
    </row>
    <row r="2383" spans="1:2" x14ac:dyDescent="0.25">
      <c r="A2383" s="4"/>
      <c r="B2383" s="5" t="s">
        <v>164</v>
      </c>
    </row>
    <row r="2384" spans="1:2" x14ac:dyDescent="0.25">
      <c r="A2384" s="4"/>
      <c r="B2384" s="5" t="s">
        <v>153</v>
      </c>
    </row>
    <row r="2385" spans="1:2" x14ac:dyDescent="0.25">
      <c r="A2385" s="4"/>
      <c r="B2385" s="5" t="s">
        <v>154</v>
      </c>
    </row>
    <row r="2386" spans="1:2" x14ac:dyDescent="0.25">
      <c r="A2386" s="4"/>
      <c r="B2386" s="5"/>
    </row>
    <row r="2387" spans="1:2" x14ac:dyDescent="0.25">
      <c r="A2387" s="4"/>
      <c r="B2387" s="5"/>
    </row>
    <row r="2388" spans="1:2" x14ac:dyDescent="0.25">
      <c r="A2388" s="4"/>
      <c r="B2388" s="5"/>
    </row>
    <row r="2389" spans="1:2" ht="15.75" thickBot="1" x14ac:dyDescent="0.3">
      <c r="A2389" s="4"/>
      <c r="B2389" s="6"/>
    </row>
    <row r="2390" spans="1:2" ht="15.75" thickBot="1" x14ac:dyDescent="0.3">
      <c r="A2390" s="4"/>
      <c r="B2390" s="4"/>
    </row>
    <row r="2391" spans="1:2" ht="15.75" thickBot="1" x14ac:dyDescent="0.3">
      <c r="A2391" s="4"/>
      <c r="B2391" s="7" t="s">
        <v>671</v>
      </c>
    </row>
    <row r="2392" spans="1:2" x14ac:dyDescent="0.25">
      <c r="A2392" s="4"/>
      <c r="B2392" s="5" t="s">
        <v>163</v>
      </c>
    </row>
    <row r="2393" spans="1:2" x14ac:dyDescent="0.25">
      <c r="A2393" s="4"/>
      <c r="B2393" s="5" t="s">
        <v>153</v>
      </c>
    </row>
    <row r="2394" spans="1:2" x14ac:dyDescent="0.25">
      <c r="A2394" s="4"/>
      <c r="B2394" s="5" t="s">
        <v>154</v>
      </c>
    </row>
    <row r="2395" spans="1:2" x14ac:dyDescent="0.25">
      <c r="A2395" s="4"/>
      <c r="B2395" s="5" t="s">
        <v>158</v>
      </c>
    </row>
    <row r="2396" spans="1:2" x14ac:dyDescent="0.25">
      <c r="A2396" s="4"/>
      <c r="B2396" s="5" t="s">
        <v>159</v>
      </c>
    </row>
    <row r="2397" spans="1:2" x14ac:dyDescent="0.25">
      <c r="A2397" s="4"/>
      <c r="B2397" s="5" t="s">
        <v>220</v>
      </c>
    </row>
    <row r="2398" spans="1:2" x14ac:dyDescent="0.25">
      <c r="A2398" s="4"/>
      <c r="B2398" s="5" t="s">
        <v>164</v>
      </c>
    </row>
    <row r="2399" spans="1:2" x14ac:dyDescent="0.25">
      <c r="A2399" s="4"/>
      <c r="B2399" s="5"/>
    </row>
    <row r="2400" spans="1:2" x14ac:dyDescent="0.25">
      <c r="A2400" s="4"/>
      <c r="B2400" s="5"/>
    </row>
    <row r="2401" spans="1:2" ht="15.75" thickBot="1" x14ac:dyDescent="0.3">
      <c r="A2401" s="4"/>
      <c r="B2401" s="6"/>
    </row>
    <row r="2402" spans="1:2" ht="15.75" thickBot="1" x14ac:dyDescent="0.3">
      <c r="A2402" s="4"/>
      <c r="B2402" s="4"/>
    </row>
    <row r="2403" spans="1:2" ht="15.75" thickBot="1" x14ac:dyDescent="0.3">
      <c r="A2403" s="4"/>
      <c r="B2403" s="7" t="s">
        <v>339</v>
      </c>
    </row>
    <row r="2404" spans="1:2" x14ac:dyDescent="0.25">
      <c r="A2404" s="4"/>
      <c r="B2404" s="5" t="s">
        <v>220</v>
      </c>
    </row>
    <row r="2405" spans="1:2" x14ac:dyDescent="0.25">
      <c r="A2405" s="4"/>
      <c r="B2405" s="5" t="s">
        <v>164</v>
      </c>
    </row>
    <row r="2406" spans="1:2" x14ac:dyDescent="0.25">
      <c r="A2406" s="4"/>
      <c r="B2406" s="5" t="s">
        <v>153</v>
      </c>
    </row>
    <row r="2407" spans="1:2" x14ac:dyDescent="0.25">
      <c r="A2407" s="4"/>
      <c r="B2407" s="5" t="s">
        <v>154</v>
      </c>
    </row>
    <row r="2408" spans="1:2" x14ac:dyDescent="0.25">
      <c r="A2408" s="4"/>
      <c r="B2408" s="5"/>
    </row>
    <row r="2409" spans="1:2" x14ac:dyDescent="0.25">
      <c r="A2409" s="4"/>
      <c r="B2409" s="5"/>
    </row>
    <row r="2410" spans="1:2" x14ac:dyDescent="0.25">
      <c r="A2410" s="4"/>
      <c r="B2410" s="5"/>
    </row>
    <row r="2411" spans="1:2" x14ac:dyDescent="0.25">
      <c r="A2411" s="4"/>
      <c r="B2411" s="5"/>
    </row>
    <row r="2412" spans="1:2" x14ac:dyDescent="0.25">
      <c r="A2412" s="4"/>
      <c r="B2412" s="5"/>
    </row>
    <row r="2413" spans="1:2" ht="15.75" thickBot="1" x14ac:dyDescent="0.3">
      <c r="A2413" s="4"/>
      <c r="B2413" s="6"/>
    </row>
    <row r="2414" spans="1:2" ht="15.75" thickBot="1" x14ac:dyDescent="0.3">
      <c r="A2414" s="4"/>
      <c r="B2414" s="4"/>
    </row>
    <row r="2415" spans="1:2" ht="15.75" thickBot="1" x14ac:dyDescent="0.3">
      <c r="A2415" s="4"/>
      <c r="B2415" s="7" t="s">
        <v>340</v>
      </c>
    </row>
    <row r="2416" spans="1:2" x14ac:dyDescent="0.25">
      <c r="A2416" s="4"/>
      <c r="B2416" s="5" t="s">
        <v>158</v>
      </c>
    </row>
    <row r="2417" spans="1:2" x14ac:dyDescent="0.25">
      <c r="A2417" s="4"/>
      <c r="B2417" s="5" t="s">
        <v>159</v>
      </c>
    </row>
    <row r="2418" spans="1:2" x14ac:dyDescent="0.25">
      <c r="A2418" s="4"/>
      <c r="B2418" s="5" t="s">
        <v>220</v>
      </c>
    </row>
    <row r="2419" spans="1:2" x14ac:dyDescent="0.25">
      <c r="A2419" s="4"/>
      <c r="B2419" s="5" t="s">
        <v>164</v>
      </c>
    </row>
    <row r="2420" spans="1:2" x14ac:dyDescent="0.25">
      <c r="A2420" s="4"/>
      <c r="B2420" s="5" t="s">
        <v>153</v>
      </c>
    </row>
    <row r="2421" spans="1:2" x14ac:dyDescent="0.25">
      <c r="A2421" s="4"/>
      <c r="B2421" s="5" t="s">
        <v>154</v>
      </c>
    </row>
    <row r="2422" spans="1:2" x14ac:dyDescent="0.25">
      <c r="A2422" s="4"/>
      <c r="B2422" s="5"/>
    </row>
    <row r="2423" spans="1:2" x14ac:dyDescent="0.25">
      <c r="A2423" s="4"/>
      <c r="B2423" s="5"/>
    </row>
    <row r="2424" spans="1:2" x14ac:dyDescent="0.25">
      <c r="A2424" s="4"/>
      <c r="B2424" s="5"/>
    </row>
    <row r="2425" spans="1:2" ht="15.75" thickBot="1" x14ac:dyDescent="0.3">
      <c r="A2425" s="4"/>
      <c r="B2425" s="6"/>
    </row>
    <row r="2426" spans="1:2" ht="15.75" thickBot="1" x14ac:dyDescent="0.3">
      <c r="A2426" s="4"/>
      <c r="B2426" s="4"/>
    </row>
    <row r="2427" spans="1:2" ht="15.75" thickBot="1" x14ac:dyDescent="0.3">
      <c r="A2427" s="4"/>
      <c r="B2427" s="7" t="s">
        <v>341</v>
      </c>
    </row>
    <row r="2428" spans="1:2" x14ac:dyDescent="0.25">
      <c r="A2428" s="4"/>
      <c r="B2428" s="5" t="s">
        <v>157</v>
      </c>
    </row>
    <row r="2429" spans="1:2" x14ac:dyDescent="0.25">
      <c r="A2429" s="4"/>
      <c r="B2429" s="5" t="s">
        <v>158</v>
      </c>
    </row>
    <row r="2430" spans="1:2" x14ac:dyDescent="0.25">
      <c r="A2430" s="4"/>
      <c r="B2430" s="5" t="s">
        <v>159</v>
      </c>
    </row>
    <row r="2431" spans="1:2" x14ac:dyDescent="0.25">
      <c r="A2431" s="4"/>
      <c r="B2431" s="5" t="s">
        <v>220</v>
      </c>
    </row>
    <row r="2432" spans="1:2" x14ac:dyDescent="0.25">
      <c r="A2432" s="4"/>
      <c r="B2432" s="5" t="s">
        <v>664</v>
      </c>
    </row>
    <row r="2433" spans="1:2" x14ac:dyDescent="0.25">
      <c r="A2433" s="4"/>
      <c r="B2433" s="5" t="s">
        <v>164</v>
      </c>
    </row>
    <row r="2434" spans="1:2" x14ac:dyDescent="0.25">
      <c r="A2434" s="4"/>
      <c r="B2434" s="5" t="s">
        <v>194</v>
      </c>
    </row>
    <row r="2435" spans="1:2" x14ac:dyDescent="0.25">
      <c r="A2435" s="4"/>
      <c r="B2435" s="5" t="s">
        <v>431</v>
      </c>
    </row>
    <row r="2436" spans="1:2" x14ac:dyDescent="0.25">
      <c r="A2436" s="4"/>
      <c r="B2436" s="5"/>
    </row>
    <row r="2437" spans="1:2" ht="15.75" thickBot="1" x14ac:dyDescent="0.3">
      <c r="A2437" s="4"/>
      <c r="B2437" s="6"/>
    </row>
    <row r="2438" spans="1:2" ht="15.75" thickBot="1" x14ac:dyDescent="0.3">
      <c r="A2438" s="4"/>
      <c r="B2438" s="4"/>
    </row>
    <row r="2439" spans="1:2" ht="15.75" thickBot="1" x14ac:dyDescent="0.3">
      <c r="A2439" s="4"/>
      <c r="B2439" s="7" t="s">
        <v>342</v>
      </c>
    </row>
    <row r="2440" spans="1:2" x14ac:dyDescent="0.25">
      <c r="A2440" s="4"/>
      <c r="B2440" s="5" t="s">
        <v>157</v>
      </c>
    </row>
    <row r="2441" spans="1:2" x14ac:dyDescent="0.25">
      <c r="A2441" s="4"/>
      <c r="B2441" s="5" t="s">
        <v>220</v>
      </c>
    </row>
    <row r="2442" spans="1:2" x14ac:dyDescent="0.25">
      <c r="A2442" s="4"/>
      <c r="B2442" s="5" t="s">
        <v>164</v>
      </c>
    </row>
    <row r="2443" spans="1:2" x14ac:dyDescent="0.25">
      <c r="A2443" s="4"/>
      <c r="B2443" s="5" t="s">
        <v>431</v>
      </c>
    </row>
    <row r="2444" spans="1:2" x14ac:dyDescent="0.25">
      <c r="A2444" s="4"/>
      <c r="B2444" s="5"/>
    </row>
    <row r="2445" spans="1:2" x14ac:dyDescent="0.25">
      <c r="A2445" s="4"/>
      <c r="B2445" s="5"/>
    </row>
    <row r="2446" spans="1:2" x14ac:dyDescent="0.25">
      <c r="A2446" s="4"/>
      <c r="B2446" s="5"/>
    </row>
    <row r="2447" spans="1:2" x14ac:dyDescent="0.25">
      <c r="A2447" s="4"/>
      <c r="B2447" s="5"/>
    </row>
    <row r="2448" spans="1:2" x14ac:dyDescent="0.25">
      <c r="A2448" s="4"/>
      <c r="B2448" s="5"/>
    </row>
    <row r="2449" spans="1:2" ht="15.75" thickBot="1" x14ac:dyDescent="0.3">
      <c r="A2449" s="4"/>
      <c r="B2449" s="6"/>
    </row>
    <row r="2450" spans="1:2" ht="15.75" thickBot="1" x14ac:dyDescent="0.3">
      <c r="A2450" s="4"/>
      <c r="B2450" s="4"/>
    </row>
    <row r="2451" spans="1:2" ht="15.75" thickBot="1" x14ac:dyDescent="0.3">
      <c r="A2451" s="4"/>
      <c r="B2451" s="7" t="s">
        <v>343</v>
      </c>
    </row>
    <row r="2452" spans="1:2" x14ac:dyDescent="0.25">
      <c r="A2452" s="4"/>
      <c r="B2452" s="5" t="s">
        <v>157</v>
      </c>
    </row>
    <row r="2453" spans="1:2" x14ac:dyDescent="0.25">
      <c r="A2453" s="4"/>
      <c r="B2453" s="5" t="s">
        <v>158</v>
      </c>
    </row>
    <row r="2454" spans="1:2" x14ac:dyDescent="0.25">
      <c r="A2454" s="4"/>
      <c r="B2454" s="5" t="s">
        <v>159</v>
      </c>
    </row>
    <row r="2455" spans="1:2" x14ac:dyDescent="0.25">
      <c r="A2455" s="4"/>
      <c r="B2455" s="5" t="s">
        <v>220</v>
      </c>
    </row>
    <row r="2456" spans="1:2" x14ac:dyDescent="0.25">
      <c r="A2456" s="4"/>
      <c r="B2456" s="5" t="s">
        <v>664</v>
      </c>
    </row>
    <row r="2457" spans="1:2" x14ac:dyDescent="0.25">
      <c r="A2457" s="4"/>
      <c r="B2457" s="5" t="s">
        <v>164</v>
      </c>
    </row>
    <row r="2458" spans="1:2" x14ac:dyDescent="0.25">
      <c r="A2458" s="4"/>
      <c r="B2458" s="5" t="s">
        <v>194</v>
      </c>
    </row>
    <row r="2459" spans="1:2" x14ac:dyDescent="0.25">
      <c r="A2459" s="4"/>
      <c r="B2459" s="5" t="s">
        <v>431</v>
      </c>
    </row>
    <row r="2460" spans="1:2" x14ac:dyDescent="0.25">
      <c r="A2460" s="4"/>
      <c r="B2460" s="5"/>
    </row>
    <row r="2461" spans="1:2" ht="15.75" thickBot="1" x14ac:dyDescent="0.3">
      <c r="A2461" s="4"/>
      <c r="B2461" s="6"/>
    </row>
    <row r="2462" spans="1:2" ht="15.75" thickBot="1" x14ac:dyDescent="0.3">
      <c r="A2462" s="4"/>
      <c r="B2462" s="4"/>
    </row>
    <row r="2463" spans="1:2" ht="15.75" thickBot="1" x14ac:dyDescent="0.3">
      <c r="A2463" s="4"/>
      <c r="B2463" s="7" t="s">
        <v>344</v>
      </c>
    </row>
    <row r="2464" spans="1:2" x14ac:dyDescent="0.25">
      <c r="A2464" s="4"/>
      <c r="B2464" s="5" t="s">
        <v>157</v>
      </c>
    </row>
    <row r="2465" spans="1:2" x14ac:dyDescent="0.25">
      <c r="A2465" s="4"/>
      <c r="B2465" s="5" t="s">
        <v>158</v>
      </c>
    </row>
    <row r="2466" spans="1:2" x14ac:dyDescent="0.25">
      <c r="A2466" s="4"/>
      <c r="B2466" s="5" t="s">
        <v>159</v>
      </c>
    </row>
    <row r="2467" spans="1:2" x14ac:dyDescent="0.25">
      <c r="A2467" s="4"/>
      <c r="B2467" s="5" t="s">
        <v>220</v>
      </c>
    </row>
    <row r="2468" spans="1:2" x14ac:dyDescent="0.25">
      <c r="A2468" s="4"/>
      <c r="B2468" s="5" t="s">
        <v>664</v>
      </c>
    </row>
    <row r="2469" spans="1:2" x14ac:dyDescent="0.25">
      <c r="A2469" s="4"/>
      <c r="B2469" s="5" t="s">
        <v>164</v>
      </c>
    </row>
    <row r="2470" spans="1:2" x14ac:dyDescent="0.25">
      <c r="A2470" s="4"/>
      <c r="B2470" s="5" t="s">
        <v>194</v>
      </c>
    </row>
    <row r="2471" spans="1:2" x14ac:dyDescent="0.25">
      <c r="A2471" s="4"/>
      <c r="B2471" s="5" t="s">
        <v>431</v>
      </c>
    </row>
    <row r="2472" spans="1:2" x14ac:dyDescent="0.25">
      <c r="A2472" s="4"/>
      <c r="B2472" s="5"/>
    </row>
    <row r="2473" spans="1:2" ht="15.75" thickBot="1" x14ac:dyDescent="0.3">
      <c r="A2473" s="4"/>
      <c r="B2473" s="6"/>
    </row>
    <row r="2474" spans="1:2" ht="15.75" thickBot="1" x14ac:dyDescent="0.3">
      <c r="A2474" s="4"/>
      <c r="B2474" s="4"/>
    </row>
    <row r="2475" spans="1:2" ht="15.75" thickBot="1" x14ac:dyDescent="0.3">
      <c r="A2475" s="4"/>
      <c r="B2475" s="7" t="s">
        <v>345</v>
      </c>
    </row>
    <row r="2476" spans="1:2" x14ac:dyDescent="0.25">
      <c r="A2476" s="4"/>
      <c r="B2476" s="5" t="s">
        <v>157</v>
      </c>
    </row>
    <row r="2477" spans="1:2" x14ac:dyDescent="0.25">
      <c r="A2477" s="4"/>
      <c r="B2477" s="5" t="s">
        <v>158</v>
      </c>
    </row>
    <row r="2478" spans="1:2" x14ac:dyDescent="0.25">
      <c r="A2478" s="4"/>
      <c r="B2478" s="5" t="s">
        <v>159</v>
      </c>
    </row>
    <row r="2479" spans="1:2" x14ac:dyDescent="0.25">
      <c r="A2479" s="4"/>
      <c r="B2479" s="5" t="s">
        <v>220</v>
      </c>
    </row>
    <row r="2480" spans="1:2" x14ac:dyDescent="0.25">
      <c r="A2480" s="4"/>
      <c r="B2480" s="5" t="s">
        <v>664</v>
      </c>
    </row>
    <row r="2481" spans="1:2" x14ac:dyDescent="0.25">
      <c r="A2481" s="4"/>
      <c r="B2481" s="5" t="s">
        <v>164</v>
      </c>
    </row>
    <row r="2482" spans="1:2" x14ac:dyDescent="0.25">
      <c r="A2482" s="4"/>
      <c r="B2482" s="5" t="s">
        <v>194</v>
      </c>
    </row>
    <row r="2483" spans="1:2" x14ac:dyDescent="0.25">
      <c r="A2483" s="4"/>
      <c r="B2483" s="5" t="s">
        <v>431</v>
      </c>
    </row>
    <row r="2484" spans="1:2" x14ac:dyDescent="0.25">
      <c r="A2484" s="4"/>
      <c r="B2484" s="5"/>
    </row>
    <row r="2485" spans="1:2" ht="15.75" thickBot="1" x14ac:dyDescent="0.3">
      <c r="A2485" s="4"/>
      <c r="B2485" s="6"/>
    </row>
    <row r="2486" spans="1:2" ht="15.75" thickBot="1" x14ac:dyDescent="0.3">
      <c r="A2486" s="4"/>
      <c r="B2486" s="4"/>
    </row>
    <row r="2487" spans="1:2" ht="15.75" thickBot="1" x14ac:dyDescent="0.3">
      <c r="A2487" s="4"/>
      <c r="B2487" s="7" t="s">
        <v>346</v>
      </c>
    </row>
    <row r="2488" spans="1:2" x14ac:dyDescent="0.25">
      <c r="A2488" s="4"/>
      <c r="B2488" s="5" t="s">
        <v>157</v>
      </c>
    </row>
    <row r="2489" spans="1:2" x14ac:dyDescent="0.25">
      <c r="A2489" s="4"/>
      <c r="B2489" s="5" t="s">
        <v>220</v>
      </c>
    </row>
    <row r="2490" spans="1:2" x14ac:dyDescent="0.25">
      <c r="A2490" s="4"/>
      <c r="B2490" s="5" t="s">
        <v>664</v>
      </c>
    </row>
    <row r="2491" spans="1:2" x14ac:dyDescent="0.25">
      <c r="A2491" s="4"/>
      <c r="B2491" s="5" t="s">
        <v>164</v>
      </c>
    </row>
    <row r="2492" spans="1:2" x14ac:dyDescent="0.25">
      <c r="A2492" s="4"/>
      <c r="B2492" s="5" t="s">
        <v>194</v>
      </c>
    </row>
    <row r="2493" spans="1:2" x14ac:dyDescent="0.25">
      <c r="A2493" s="4"/>
      <c r="B2493" s="5" t="s">
        <v>431</v>
      </c>
    </row>
    <row r="2494" spans="1:2" x14ac:dyDescent="0.25">
      <c r="A2494" s="4"/>
      <c r="B2494" s="5"/>
    </row>
    <row r="2495" spans="1:2" x14ac:dyDescent="0.25">
      <c r="A2495" s="4"/>
      <c r="B2495" s="5"/>
    </row>
    <row r="2496" spans="1:2" x14ac:dyDescent="0.25">
      <c r="A2496" s="4"/>
      <c r="B2496" s="5"/>
    </row>
    <row r="2497" spans="1:2" ht="15.75" thickBot="1" x14ac:dyDescent="0.3">
      <c r="A2497" s="4"/>
      <c r="B2497" s="6"/>
    </row>
    <row r="2498" spans="1:2" ht="15.75" thickBot="1" x14ac:dyDescent="0.3">
      <c r="A2498" s="4"/>
      <c r="B2498" s="4"/>
    </row>
    <row r="2499" spans="1:2" ht="15.75" thickBot="1" x14ac:dyDescent="0.3">
      <c r="A2499" s="4"/>
      <c r="B2499" s="7" t="s">
        <v>347</v>
      </c>
    </row>
    <row r="2500" spans="1:2" x14ac:dyDescent="0.25">
      <c r="A2500" s="4"/>
      <c r="B2500" s="5" t="s">
        <v>157</v>
      </c>
    </row>
    <row r="2501" spans="1:2" x14ac:dyDescent="0.25">
      <c r="A2501" s="4"/>
      <c r="B2501" s="5" t="s">
        <v>158</v>
      </c>
    </row>
    <row r="2502" spans="1:2" x14ac:dyDescent="0.25">
      <c r="A2502" s="4"/>
      <c r="B2502" s="5" t="s">
        <v>159</v>
      </c>
    </row>
    <row r="2503" spans="1:2" x14ac:dyDescent="0.25">
      <c r="A2503" s="4"/>
      <c r="B2503" s="5" t="s">
        <v>220</v>
      </c>
    </row>
    <row r="2504" spans="1:2" x14ac:dyDescent="0.25">
      <c r="A2504" s="4"/>
      <c r="B2504" s="5" t="s">
        <v>664</v>
      </c>
    </row>
    <row r="2505" spans="1:2" x14ac:dyDescent="0.25">
      <c r="A2505" s="4"/>
      <c r="B2505" s="5" t="s">
        <v>164</v>
      </c>
    </row>
    <row r="2506" spans="1:2" x14ac:dyDescent="0.25">
      <c r="A2506" s="4"/>
      <c r="B2506" s="5" t="s">
        <v>194</v>
      </c>
    </row>
    <row r="2507" spans="1:2" x14ac:dyDescent="0.25">
      <c r="A2507" s="4"/>
      <c r="B2507" s="5" t="s">
        <v>431</v>
      </c>
    </row>
    <row r="2508" spans="1:2" x14ac:dyDescent="0.25">
      <c r="A2508" s="4"/>
      <c r="B2508" s="5"/>
    </row>
    <row r="2509" spans="1:2" ht="15.75" thickBot="1" x14ac:dyDescent="0.3">
      <c r="A2509" s="4"/>
      <c r="B2509" s="6"/>
    </row>
    <row r="2510" spans="1:2" ht="15.75" thickBot="1" x14ac:dyDescent="0.3">
      <c r="A2510" s="4"/>
      <c r="B2510" s="4"/>
    </row>
    <row r="2511" spans="1:2" ht="15.75" thickBot="1" x14ac:dyDescent="0.3">
      <c r="A2511" s="4"/>
      <c r="B2511" s="7" t="s">
        <v>348</v>
      </c>
    </row>
    <row r="2512" spans="1:2" x14ac:dyDescent="0.25">
      <c r="A2512" s="4"/>
      <c r="B2512" s="5" t="s">
        <v>158</v>
      </c>
    </row>
    <row r="2513" spans="1:2" x14ac:dyDescent="0.25">
      <c r="A2513" s="4"/>
      <c r="B2513" s="5" t="s">
        <v>159</v>
      </c>
    </row>
    <row r="2514" spans="1:2" x14ac:dyDescent="0.25">
      <c r="A2514" s="4"/>
      <c r="B2514" s="5" t="s">
        <v>220</v>
      </c>
    </row>
    <row r="2515" spans="1:2" x14ac:dyDescent="0.25">
      <c r="A2515" s="4"/>
      <c r="B2515" s="5" t="s">
        <v>164</v>
      </c>
    </row>
    <row r="2516" spans="1:2" x14ac:dyDescent="0.25">
      <c r="A2516" s="4"/>
      <c r="B2516" s="5" t="s">
        <v>153</v>
      </c>
    </row>
    <row r="2517" spans="1:2" x14ac:dyDescent="0.25">
      <c r="A2517" s="4"/>
      <c r="B2517" s="5"/>
    </row>
    <row r="2518" spans="1:2" x14ac:dyDescent="0.25">
      <c r="A2518" s="4"/>
      <c r="B2518" s="5"/>
    </row>
    <row r="2519" spans="1:2" x14ac:dyDescent="0.25">
      <c r="A2519" s="4"/>
      <c r="B2519" s="5"/>
    </row>
    <row r="2520" spans="1:2" x14ac:dyDescent="0.25">
      <c r="A2520" s="4"/>
      <c r="B2520" s="5"/>
    </row>
    <row r="2521" spans="1:2" ht="15.75" thickBot="1" x14ac:dyDescent="0.3">
      <c r="A2521" s="4"/>
      <c r="B2521" s="6"/>
    </row>
    <row r="2522" spans="1:2" ht="15.75" thickBot="1" x14ac:dyDescent="0.3">
      <c r="A2522" s="4"/>
      <c r="B2522" s="4"/>
    </row>
    <row r="2523" spans="1:2" ht="15.75" thickBot="1" x14ac:dyDescent="0.3">
      <c r="A2523" s="4"/>
      <c r="B2523" s="7" t="s">
        <v>349</v>
      </c>
    </row>
    <row r="2524" spans="1:2" x14ac:dyDescent="0.25">
      <c r="A2524" s="4"/>
      <c r="B2524" s="5" t="s">
        <v>220</v>
      </c>
    </row>
    <row r="2525" spans="1:2" x14ac:dyDescent="0.25">
      <c r="A2525" s="4"/>
      <c r="B2525" s="5" t="s">
        <v>164</v>
      </c>
    </row>
    <row r="2526" spans="1:2" x14ac:dyDescent="0.25">
      <c r="A2526" s="4"/>
      <c r="B2526" s="5"/>
    </row>
    <row r="2527" spans="1:2" x14ac:dyDescent="0.25">
      <c r="A2527" s="4"/>
      <c r="B2527" s="5"/>
    </row>
    <row r="2528" spans="1:2" x14ac:dyDescent="0.25">
      <c r="A2528" s="4"/>
      <c r="B2528" s="5"/>
    </row>
    <row r="2529" spans="1:2" x14ac:dyDescent="0.25">
      <c r="A2529" s="4"/>
      <c r="B2529" s="5"/>
    </row>
    <row r="2530" spans="1:2" x14ac:dyDescent="0.25">
      <c r="A2530" s="4"/>
      <c r="B2530" s="5"/>
    </row>
    <row r="2531" spans="1:2" x14ac:dyDescent="0.25">
      <c r="A2531" s="4"/>
      <c r="B2531" s="5"/>
    </row>
    <row r="2532" spans="1:2" x14ac:dyDescent="0.25">
      <c r="A2532" s="4"/>
      <c r="B2532" s="5"/>
    </row>
    <row r="2533" spans="1:2" ht="15.75" thickBot="1" x14ac:dyDescent="0.3">
      <c r="A2533" s="4"/>
      <c r="B2533" s="6"/>
    </row>
    <row r="2534" spans="1:2" ht="15.75" thickBot="1" x14ac:dyDescent="0.3">
      <c r="A2534" s="4"/>
      <c r="B2534" s="4"/>
    </row>
    <row r="2535" spans="1:2" ht="15.75" thickBot="1" x14ac:dyDescent="0.3">
      <c r="A2535" s="4"/>
      <c r="B2535" s="7" t="s">
        <v>350</v>
      </c>
    </row>
    <row r="2536" spans="1:2" x14ac:dyDescent="0.25">
      <c r="A2536" s="4"/>
      <c r="B2536" s="5" t="s">
        <v>158</v>
      </c>
    </row>
    <row r="2537" spans="1:2" x14ac:dyDescent="0.25">
      <c r="A2537" s="4"/>
      <c r="B2537" s="5" t="s">
        <v>159</v>
      </c>
    </row>
    <row r="2538" spans="1:2" x14ac:dyDescent="0.25">
      <c r="A2538" s="4"/>
      <c r="B2538" s="5" t="s">
        <v>220</v>
      </c>
    </row>
    <row r="2539" spans="1:2" x14ac:dyDescent="0.25">
      <c r="A2539" s="4"/>
      <c r="B2539" s="5" t="s">
        <v>164</v>
      </c>
    </row>
    <row r="2540" spans="1:2" x14ac:dyDescent="0.25">
      <c r="A2540" s="4"/>
      <c r="B2540" s="5" t="s">
        <v>153</v>
      </c>
    </row>
    <row r="2541" spans="1:2" x14ac:dyDescent="0.25">
      <c r="A2541" s="4"/>
      <c r="B2541" s="5"/>
    </row>
    <row r="2542" spans="1:2" x14ac:dyDescent="0.25">
      <c r="A2542" s="4"/>
      <c r="B2542" s="5"/>
    </row>
    <row r="2543" spans="1:2" x14ac:dyDescent="0.25">
      <c r="A2543" s="4"/>
      <c r="B2543" s="5"/>
    </row>
    <row r="2544" spans="1:2" x14ac:dyDescent="0.25">
      <c r="A2544" s="4"/>
      <c r="B2544" s="5"/>
    </row>
    <row r="2545" spans="1:2" ht="15.75" thickBot="1" x14ac:dyDescent="0.3">
      <c r="A2545" s="4"/>
      <c r="B2545" s="6"/>
    </row>
    <row r="2546" spans="1:2" ht="15.75" thickBot="1" x14ac:dyDescent="0.3">
      <c r="A2546" s="4"/>
      <c r="B2546" s="4"/>
    </row>
    <row r="2547" spans="1:2" ht="15.75" thickBot="1" x14ac:dyDescent="0.3">
      <c r="A2547" s="4"/>
      <c r="B2547" s="7" t="s">
        <v>351</v>
      </c>
    </row>
    <row r="2548" spans="1:2" x14ac:dyDescent="0.25">
      <c r="A2548" s="4"/>
      <c r="B2548" s="5" t="s">
        <v>158</v>
      </c>
    </row>
    <row r="2549" spans="1:2" x14ac:dyDescent="0.25">
      <c r="A2549" s="4"/>
      <c r="B2549" s="5" t="s">
        <v>159</v>
      </c>
    </row>
    <row r="2550" spans="1:2" x14ac:dyDescent="0.25">
      <c r="A2550" s="4"/>
      <c r="B2550" s="5" t="s">
        <v>220</v>
      </c>
    </row>
    <row r="2551" spans="1:2" x14ac:dyDescent="0.25">
      <c r="A2551" s="4"/>
      <c r="B2551" s="5" t="s">
        <v>164</v>
      </c>
    </row>
    <row r="2552" spans="1:2" x14ac:dyDescent="0.25">
      <c r="A2552" s="4"/>
      <c r="B2552" s="5" t="s">
        <v>153</v>
      </c>
    </row>
    <row r="2553" spans="1:2" x14ac:dyDescent="0.25">
      <c r="A2553" s="4"/>
      <c r="B2553" s="5"/>
    </row>
    <row r="2554" spans="1:2" x14ac:dyDescent="0.25">
      <c r="A2554" s="4"/>
      <c r="B2554" s="5"/>
    </row>
    <row r="2555" spans="1:2" x14ac:dyDescent="0.25">
      <c r="A2555" s="4"/>
      <c r="B2555" s="5"/>
    </row>
    <row r="2556" spans="1:2" x14ac:dyDescent="0.25">
      <c r="A2556" s="4"/>
      <c r="B2556" s="5"/>
    </row>
    <row r="2557" spans="1:2" ht="15.75" thickBot="1" x14ac:dyDescent="0.3">
      <c r="A2557" s="4"/>
      <c r="B2557" s="6"/>
    </row>
    <row r="2558" spans="1:2" ht="15.75" thickBot="1" x14ac:dyDescent="0.3">
      <c r="A2558" s="4"/>
      <c r="B2558" s="4"/>
    </row>
    <row r="2559" spans="1:2" ht="15.75" thickBot="1" x14ac:dyDescent="0.3">
      <c r="A2559" s="4"/>
      <c r="B2559" s="7" t="s">
        <v>672</v>
      </c>
    </row>
    <row r="2560" spans="1:2" x14ac:dyDescent="0.25">
      <c r="A2560" s="4"/>
      <c r="B2560" s="5" t="s">
        <v>158</v>
      </c>
    </row>
    <row r="2561" spans="1:2" x14ac:dyDescent="0.25">
      <c r="A2561" s="4"/>
      <c r="B2561" s="5" t="s">
        <v>159</v>
      </c>
    </row>
    <row r="2562" spans="1:2" x14ac:dyDescent="0.25">
      <c r="A2562" s="4"/>
      <c r="B2562" s="5" t="s">
        <v>220</v>
      </c>
    </row>
    <row r="2563" spans="1:2" x14ac:dyDescent="0.25">
      <c r="A2563" s="4"/>
      <c r="B2563" s="5" t="s">
        <v>164</v>
      </c>
    </row>
    <row r="2564" spans="1:2" x14ac:dyDescent="0.25">
      <c r="A2564" s="4"/>
      <c r="B2564" s="5" t="s">
        <v>153</v>
      </c>
    </row>
    <row r="2565" spans="1:2" x14ac:dyDescent="0.25">
      <c r="A2565" s="4"/>
      <c r="B2565" s="5"/>
    </row>
    <row r="2566" spans="1:2" x14ac:dyDescent="0.25">
      <c r="A2566" s="4"/>
      <c r="B2566" s="5"/>
    </row>
    <row r="2567" spans="1:2" x14ac:dyDescent="0.25">
      <c r="A2567" s="4"/>
      <c r="B2567" s="5"/>
    </row>
    <row r="2568" spans="1:2" x14ac:dyDescent="0.25">
      <c r="A2568" s="4"/>
      <c r="B2568" s="5"/>
    </row>
    <row r="2569" spans="1:2" ht="15.75" thickBot="1" x14ac:dyDescent="0.3">
      <c r="A2569" s="4"/>
      <c r="B2569" s="6"/>
    </row>
    <row r="2570" spans="1:2" ht="15.75" thickBot="1" x14ac:dyDescent="0.3">
      <c r="A2570" s="4"/>
      <c r="B2570" s="4"/>
    </row>
    <row r="2571" spans="1:2" ht="15.75" thickBot="1" x14ac:dyDescent="0.3">
      <c r="A2571" s="4"/>
      <c r="B2571" s="7" t="s">
        <v>352</v>
      </c>
    </row>
    <row r="2572" spans="1:2" x14ac:dyDescent="0.25">
      <c r="A2572" s="4"/>
      <c r="B2572" s="5" t="s">
        <v>220</v>
      </c>
    </row>
    <row r="2573" spans="1:2" x14ac:dyDescent="0.25">
      <c r="A2573" s="4"/>
      <c r="B2573" s="5" t="s">
        <v>164</v>
      </c>
    </row>
    <row r="2574" spans="1:2" x14ac:dyDescent="0.25">
      <c r="A2574" s="4"/>
      <c r="B2574" s="5" t="s">
        <v>153</v>
      </c>
    </row>
    <row r="2575" spans="1:2" x14ac:dyDescent="0.25">
      <c r="A2575" s="4"/>
      <c r="B2575" s="5"/>
    </row>
    <row r="2576" spans="1:2" x14ac:dyDescent="0.25">
      <c r="A2576" s="4"/>
      <c r="B2576" s="5"/>
    </row>
    <row r="2577" spans="1:2" x14ac:dyDescent="0.25">
      <c r="A2577" s="4"/>
      <c r="B2577" s="5"/>
    </row>
    <row r="2578" spans="1:2" x14ac:dyDescent="0.25">
      <c r="A2578" s="4"/>
      <c r="B2578" s="5"/>
    </row>
    <row r="2579" spans="1:2" x14ac:dyDescent="0.25">
      <c r="A2579" s="4"/>
      <c r="B2579" s="5"/>
    </row>
    <row r="2580" spans="1:2" x14ac:dyDescent="0.25">
      <c r="A2580" s="4"/>
      <c r="B2580" s="5"/>
    </row>
    <row r="2581" spans="1:2" ht="15.75" thickBot="1" x14ac:dyDescent="0.3">
      <c r="A2581" s="4"/>
      <c r="B2581" s="6"/>
    </row>
    <row r="2582" spans="1:2" ht="15.75" thickBot="1" x14ac:dyDescent="0.3">
      <c r="A2582" s="4"/>
      <c r="B2582" s="4"/>
    </row>
    <row r="2583" spans="1:2" ht="15.75" thickBot="1" x14ac:dyDescent="0.3">
      <c r="A2583" s="4"/>
      <c r="B2583" s="7" t="s">
        <v>353</v>
      </c>
    </row>
    <row r="2584" spans="1:2" x14ac:dyDescent="0.25">
      <c r="A2584" s="4"/>
      <c r="B2584" s="5" t="s">
        <v>158</v>
      </c>
    </row>
    <row r="2585" spans="1:2" x14ac:dyDescent="0.25">
      <c r="A2585" s="4"/>
      <c r="B2585" s="5" t="s">
        <v>159</v>
      </c>
    </row>
    <row r="2586" spans="1:2" x14ac:dyDescent="0.25">
      <c r="A2586" s="4"/>
      <c r="B2586" s="5" t="s">
        <v>220</v>
      </c>
    </row>
    <row r="2587" spans="1:2" x14ac:dyDescent="0.25">
      <c r="A2587" s="4"/>
      <c r="B2587" s="5" t="s">
        <v>164</v>
      </c>
    </row>
    <row r="2588" spans="1:2" x14ac:dyDescent="0.25">
      <c r="A2588" s="4"/>
      <c r="B2588" s="5" t="s">
        <v>153</v>
      </c>
    </row>
    <row r="2589" spans="1:2" x14ac:dyDescent="0.25">
      <c r="A2589" s="4"/>
      <c r="B2589" s="5"/>
    </row>
    <row r="2590" spans="1:2" x14ac:dyDescent="0.25">
      <c r="A2590" s="4"/>
      <c r="B2590" s="5"/>
    </row>
    <row r="2591" spans="1:2" x14ac:dyDescent="0.25">
      <c r="A2591" s="4"/>
      <c r="B2591" s="5"/>
    </row>
    <row r="2592" spans="1:2" x14ac:dyDescent="0.25">
      <c r="A2592" s="4"/>
      <c r="B2592" s="5"/>
    </row>
    <row r="2593" spans="1:2" ht="15.75" thickBot="1" x14ac:dyDescent="0.3">
      <c r="A2593" s="4"/>
      <c r="B2593" s="6"/>
    </row>
    <row r="2594" spans="1:2" ht="15.75" thickBot="1" x14ac:dyDescent="0.3">
      <c r="A2594" s="4"/>
      <c r="B2594" s="4"/>
    </row>
    <row r="2595" spans="1:2" ht="15.75" thickBot="1" x14ac:dyDescent="0.3">
      <c r="A2595" s="4"/>
      <c r="B2595" s="7" t="s">
        <v>354</v>
      </c>
    </row>
    <row r="2596" spans="1:2" x14ac:dyDescent="0.25">
      <c r="A2596" s="4"/>
      <c r="B2596" s="5" t="s">
        <v>432</v>
      </c>
    </row>
    <row r="2597" spans="1:2" x14ac:dyDescent="0.25">
      <c r="A2597" s="4"/>
      <c r="B2597" s="5" t="s">
        <v>158</v>
      </c>
    </row>
    <row r="2598" spans="1:2" x14ac:dyDescent="0.25">
      <c r="A2598" s="4"/>
      <c r="B2598" s="5" t="s">
        <v>159</v>
      </c>
    </row>
    <row r="2599" spans="1:2" x14ac:dyDescent="0.25">
      <c r="A2599" s="4"/>
      <c r="B2599" s="5" t="s">
        <v>220</v>
      </c>
    </row>
    <row r="2600" spans="1:2" x14ac:dyDescent="0.25">
      <c r="A2600" s="4"/>
      <c r="B2600" s="5" t="s">
        <v>164</v>
      </c>
    </row>
    <row r="2601" spans="1:2" x14ac:dyDescent="0.25">
      <c r="A2601" s="4"/>
      <c r="B2601" s="5"/>
    </row>
    <row r="2602" spans="1:2" x14ac:dyDescent="0.25">
      <c r="A2602" s="4"/>
      <c r="B2602" s="5"/>
    </row>
    <row r="2603" spans="1:2" x14ac:dyDescent="0.25">
      <c r="A2603" s="4"/>
      <c r="B2603" s="5"/>
    </row>
    <row r="2604" spans="1:2" x14ac:dyDescent="0.25">
      <c r="A2604" s="4"/>
      <c r="B2604" s="5"/>
    </row>
    <row r="2605" spans="1:2" ht="15.75" thickBot="1" x14ac:dyDescent="0.3">
      <c r="A2605" s="4"/>
      <c r="B2605" s="6"/>
    </row>
    <row r="2606" spans="1:2" ht="15.75" thickBot="1" x14ac:dyDescent="0.3">
      <c r="A2606" s="4"/>
      <c r="B2606" s="4"/>
    </row>
    <row r="2607" spans="1:2" ht="15.75" thickBot="1" x14ac:dyDescent="0.3">
      <c r="A2607" s="4"/>
      <c r="B2607" s="7" t="s">
        <v>355</v>
      </c>
    </row>
    <row r="2608" spans="1:2" x14ac:dyDescent="0.25">
      <c r="A2608" s="4"/>
      <c r="B2608" s="5" t="s">
        <v>220</v>
      </c>
    </row>
    <row r="2609" spans="1:2" x14ac:dyDescent="0.25">
      <c r="A2609" s="4"/>
      <c r="B2609" s="5" t="s">
        <v>164</v>
      </c>
    </row>
    <row r="2610" spans="1:2" x14ac:dyDescent="0.25">
      <c r="A2610" s="4"/>
      <c r="B2610" s="5" t="s">
        <v>432</v>
      </c>
    </row>
    <row r="2611" spans="1:2" x14ac:dyDescent="0.25">
      <c r="A2611" s="4"/>
      <c r="B2611" s="5"/>
    </row>
    <row r="2612" spans="1:2" x14ac:dyDescent="0.25">
      <c r="A2612" s="4"/>
      <c r="B2612" s="5"/>
    </row>
    <row r="2613" spans="1:2" x14ac:dyDescent="0.25">
      <c r="A2613" s="4"/>
      <c r="B2613" s="5"/>
    </row>
    <row r="2614" spans="1:2" x14ac:dyDescent="0.25">
      <c r="A2614" s="4"/>
      <c r="B2614" s="5"/>
    </row>
    <row r="2615" spans="1:2" x14ac:dyDescent="0.25">
      <c r="A2615" s="4"/>
      <c r="B2615" s="5"/>
    </row>
    <row r="2616" spans="1:2" x14ac:dyDescent="0.25">
      <c r="A2616" s="4"/>
      <c r="B2616" s="5"/>
    </row>
    <row r="2617" spans="1:2" ht="15.75" thickBot="1" x14ac:dyDescent="0.3">
      <c r="A2617" s="4"/>
      <c r="B2617" s="6"/>
    </row>
    <row r="2618" spans="1:2" ht="15.75" thickBot="1" x14ac:dyDescent="0.3">
      <c r="A2618" s="4"/>
      <c r="B2618" s="4"/>
    </row>
    <row r="2619" spans="1:2" ht="15.75" thickBot="1" x14ac:dyDescent="0.3">
      <c r="A2619" s="4"/>
      <c r="B2619" s="7" t="s">
        <v>356</v>
      </c>
    </row>
    <row r="2620" spans="1:2" x14ac:dyDescent="0.25">
      <c r="A2620" s="4"/>
      <c r="B2620" s="5" t="s">
        <v>432</v>
      </c>
    </row>
    <row r="2621" spans="1:2" x14ac:dyDescent="0.25">
      <c r="A2621" s="4"/>
      <c r="B2621" s="5" t="s">
        <v>158</v>
      </c>
    </row>
    <row r="2622" spans="1:2" x14ac:dyDescent="0.25">
      <c r="A2622" s="4"/>
      <c r="B2622" s="5" t="s">
        <v>159</v>
      </c>
    </row>
    <row r="2623" spans="1:2" x14ac:dyDescent="0.25">
      <c r="A2623" s="4"/>
      <c r="B2623" s="5" t="s">
        <v>220</v>
      </c>
    </row>
    <row r="2624" spans="1:2" x14ac:dyDescent="0.25">
      <c r="A2624" s="4"/>
      <c r="B2624" s="5" t="s">
        <v>164</v>
      </c>
    </row>
    <row r="2625" spans="1:2" x14ac:dyDescent="0.25">
      <c r="A2625" s="4"/>
      <c r="B2625" s="5"/>
    </row>
    <row r="2626" spans="1:2" x14ac:dyDescent="0.25">
      <c r="A2626" s="4"/>
      <c r="B2626" s="5"/>
    </row>
    <row r="2627" spans="1:2" x14ac:dyDescent="0.25">
      <c r="A2627" s="4"/>
      <c r="B2627" s="5"/>
    </row>
    <row r="2628" spans="1:2" x14ac:dyDescent="0.25">
      <c r="A2628" s="4"/>
      <c r="B2628" s="5"/>
    </row>
    <row r="2629" spans="1:2" ht="15.75" thickBot="1" x14ac:dyDescent="0.3">
      <c r="A2629" s="4"/>
      <c r="B2629" s="6"/>
    </row>
    <row r="2630" spans="1:2" ht="15.75" thickBot="1" x14ac:dyDescent="0.3">
      <c r="A2630" s="4"/>
      <c r="B2630" s="4"/>
    </row>
    <row r="2631" spans="1:2" ht="15.75" thickBot="1" x14ac:dyDescent="0.3">
      <c r="A2631" s="4"/>
      <c r="B2631" s="7" t="s">
        <v>692</v>
      </c>
    </row>
    <row r="2632" spans="1:2" x14ac:dyDescent="0.25">
      <c r="A2632" s="4"/>
      <c r="B2632" s="5" t="s">
        <v>220</v>
      </c>
    </row>
    <row r="2633" spans="1:2" x14ac:dyDescent="0.25">
      <c r="A2633" s="4"/>
      <c r="B2633" s="5" t="s">
        <v>164</v>
      </c>
    </row>
    <row r="2634" spans="1:2" x14ac:dyDescent="0.25">
      <c r="A2634" s="4"/>
      <c r="B2634" s="5" t="s">
        <v>432</v>
      </c>
    </row>
    <row r="2635" spans="1:2" x14ac:dyDescent="0.25">
      <c r="A2635" s="4"/>
      <c r="B2635" s="5"/>
    </row>
    <row r="2636" spans="1:2" x14ac:dyDescent="0.25">
      <c r="A2636" s="4"/>
      <c r="B2636" s="5"/>
    </row>
    <row r="2637" spans="1:2" x14ac:dyDescent="0.25">
      <c r="A2637" s="4"/>
      <c r="B2637" s="5"/>
    </row>
    <row r="2638" spans="1:2" x14ac:dyDescent="0.25">
      <c r="A2638" s="4"/>
      <c r="B2638" s="5"/>
    </row>
    <row r="2639" spans="1:2" x14ac:dyDescent="0.25">
      <c r="A2639" s="4"/>
      <c r="B2639" s="5"/>
    </row>
    <row r="2640" spans="1:2" x14ac:dyDescent="0.25">
      <c r="A2640" s="4"/>
      <c r="B2640" s="5"/>
    </row>
    <row r="2641" spans="1:2" ht="15.75" thickBot="1" x14ac:dyDescent="0.3">
      <c r="A2641" s="4"/>
      <c r="B2641" s="6"/>
    </row>
    <row r="2642" spans="1:2" ht="15.75" thickBot="1" x14ac:dyDescent="0.3">
      <c r="A2642" s="4"/>
      <c r="B2642" s="4"/>
    </row>
    <row r="2643" spans="1:2" ht="15.75" thickBot="1" x14ac:dyDescent="0.3">
      <c r="A2643" s="4"/>
      <c r="B2643" s="7" t="s">
        <v>357</v>
      </c>
    </row>
    <row r="2644" spans="1:2" x14ac:dyDescent="0.25">
      <c r="A2644" s="4"/>
      <c r="B2644" s="5" t="s">
        <v>432</v>
      </c>
    </row>
    <row r="2645" spans="1:2" x14ac:dyDescent="0.25">
      <c r="A2645" s="4"/>
      <c r="B2645" s="5" t="s">
        <v>158</v>
      </c>
    </row>
    <row r="2646" spans="1:2" x14ac:dyDescent="0.25">
      <c r="A2646" s="4"/>
      <c r="B2646" s="5" t="s">
        <v>159</v>
      </c>
    </row>
    <row r="2647" spans="1:2" x14ac:dyDescent="0.25">
      <c r="A2647" s="4"/>
      <c r="B2647" s="5" t="s">
        <v>220</v>
      </c>
    </row>
    <row r="2648" spans="1:2" x14ac:dyDescent="0.25">
      <c r="A2648" s="4"/>
      <c r="B2648" s="5" t="s">
        <v>164</v>
      </c>
    </row>
    <row r="2649" spans="1:2" x14ac:dyDescent="0.25">
      <c r="A2649" s="4"/>
      <c r="B2649" s="5"/>
    </row>
    <row r="2650" spans="1:2" x14ac:dyDescent="0.25">
      <c r="A2650" s="4"/>
      <c r="B2650" s="5"/>
    </row>
    <row r="2651" spans="1:2" x14ac:dyDescent="0.25">
      <c r="A2651" s="4"/>
      <c r="B2651" s="5"/>
    </row>
    <row r="2652" spans="1:2" x14ac:dyDescent="0.25">
      <c r="A2652" s="4"/>
      <c r="B2652" s="5"/>
    </row>
    <row r="2653" spans="1:2" ht="15.75" thickBot="1" x14ac:dyDescent="0.3">
      <c r="A2653" s="4"/>
      <c r="B2653" s="6"/>
    </row>
    <row r="2654" spans="1:2" ht="15.75" thickBot="1" x14ac:dyDescent="0.3">
      <c r="A2654" s="4"/>
      <c r="B2654" s="4"/>
    </row>
    <row r="2655" spans="1:2" ht="15.75" thickBot="1" x14ac:dyDescent="0.3">
      <c r="A2655" s="4"/>
      <c r="B2655" s="7" t="s">
        <v>697</v>
      </c>
    </row>
    <row r="2656" spans="1:2" x14ac:dyDescent="0.25">
      <c r="A2656" s="4"/>
      <c r="B2656" s="5" t="s">
        <v>158</v>
      </c>
    </row>
    <row r="2657" spans="1:2" x14ac:dyDescent="0.25">
      <c r="A2657" s="4"/>
      <c r="B2657" s="5" t="s">
        <v>159</v>
      </c>
    </row>
    <row r="2658" spans="1:2" x14ac:dyDescent="0.25">
      <c r="A2658" s="4"/>
      <c r="B2658" s="5" t="s">
        <v>220</v>
      </c>
    </row>
    <row r="2659" spans="1:2" x14ac:dyDescent="0.25">
      <c r="A2659" s="4"/>
      <c r="B2659" s="5" t="s">
        <v>164</v>
      </c>
    </row>
    <row r="2660" spans="1:2" x14ac:dyDescent="0.25">
      <c r="A2660" s="4"/>
      <c r="B2660" s="5" t="s">
        <v>432</v>
      </c>
    </row>
    <row r="2661" spans="1:2" x14ac:dyDescent="0.25">
      <c r="A2661" s="4"/>
      <c r="B2661" s="5"/>
    </row>
    <row r="2662" spans="1:2" x14ac:dyDescent="0.25">
      <c r="A2662" s="4"/>
      <c r="B2662" s="5"/>
    </row>
    <row r="2663" spans="1:2" x14ac:dyDescent="0.25">
      <c r="A2663" s="4"/>
      <c r="B2663" s="5"/>
    </row>
    <row r="2664" spans="1:2" x14ac:dyDescent="0.25">
      <c r="A2664" s="4"/>
      <c r="B2664" s="5"/>
    </row>
    <row r="2665" spans="1:2" ht="15.75" thickBot="1" x14ac:dyDescent="0.3">
      <c r="A2665" s="4"/>
      <c r="B2665" s="6"/>
    </row>
    <row r="2666" spans="1:2" ht="15.75" thickBot="1" x14ac:dyDescent="0.3">
      <c r="A2666" s="4"/>
      <c r="B2666" s="4"/>
    </row>
    <row r="2667" spans="1:2" ht="15.75" thickBot="1" x14ac:dyDescent="0.3">
      <c r="A2667" s="4"/>
      <c r="B2667" s="7" t="s">
        <v>358</v>
      </c>
    </row>
    <row r="2668" spans="1:2" x14ac:dyDescent="0.25">
      <c r="A2668" s="4"/>
      <c r="B2668" s="5" t="s">
        <v>432</v>
      </c>
    </row>
    <row r="2669" spans="1:2" x14ac:dyDescent="0.25">
      <c r="A2669" s="4"/>
      <c r="B2669" s="5" t="s">
        <v>158</v>
      </c>
    </row>
    <row r="2670" spans="1:2" x14ac:dyDescent="0.25">
      <c r="A2670" s="4"/>
      <c r="B2670" s="5" t="s">
        <v>159</v>
      </c>
    </row>
    <row r="2671" spans="1:2" x14ac:dyDescent="0.25">
      <c r="A2671" s="4"/>
      <c r="B2671" s="5" t="s">
        <v>220</v>
      </c>
    </row>
    <row r="2672" spans="1:2" x14ac:dyDescent="0.25">
      <c r="A2672" s="4"/>
      <c r="B2672" s="5" t="s">
        <v>164</v>
      </c>
    </row>
    <row r="2673" spans="1:2" x14ac:dyDescent="0.25">
      <c r="A2673" s="4"/>
      <c r="B2673" s="5"/>
    </row>
    <row r="2674" spans="1:2" x14ac:dyDescent="0.25">
      <c r="A2674" s="4"/>
      <c r="B2674" s="5"/>
    </row>
    <row r="2675" spans="1:2" x14ac:dyDescent="0.25">
      <c r="A2675" s="4"/>
      <c r="B2675" s="5"/>
    </row>
    <row r="2676" spans="1:2" x14ac:dyDescent="0.25">
      <c r="A2676" s="4"/>
      <c r="B2676" s="5"/>
    </row>
    <row r="2677" spans="1:2" ht="15.75" thickBot="1" x14ac:dyDescent="0.3">
      <c r="A2677" s="4"/>
      <c r="B2677" s="6"/>
    </row>
    <row r="2678" spans="1:2" ht="15.75" thickBot="1" x14ac:dyDescent="0.3">
      <c r="A2678" s="4"/>
      <c r="B2678" s="4"/>
    </row>
    <row r="2679" spans="1:2" ht="15.75" thickBot="1" x14ac:dyDescent="0.3">
      <c r="A2679" s="4"/>
      <c r="B2679" s="7" t="s">
        <v>359</v>
      </c>
    </row>
    <row r="2680" spans="1:2" x14ac:dyDescent="0.25">
      <c r="A2680" s="4"/>
      <c r="B2680" s="5" t="s">
        <v>158</v>
      </c>
    </row>
    <row r="2681" spans="1:2" x14ac:dyDescent="0.25">
      <c r="A2681" s="4"/>
      <c r="B2681" s="5" t="s">
        <v>159</v>
      </c>
    </row>
    <row r="2682" spans="1:2" x14ac:dyDescent="0.25">
      <c r="A2682" s="4"/>
      <c r="B2682" s="5" t="s">
        <v>220</v>
      </c>
    </row>
    <row r="2683" spans="1:2" x14ac:dyDescent="0.25">
      <c r="A2683" s="4"/>
      <c r="B2683" s="5" t="s">
        <v>153</v>
      </c>
    </row>
    <row r="2684" spans="1:2" x14ac:dyDescent="0.25">
      <c r="A2684" s="4"/>
      <c r="B2684" s="5" t="s">
        <v>433</v>
      </c>
    </row>
    <row r="2685" spans="1:2" x14ac:dyDescent="0.25">
      <c r="A2685" s="4"/>
      <c r="B2685" s="5"/>
    </row>
    <row r="2686" spans="1:2" x14ac:dyDescent="0.25">
      <c r="A2686" s="4"/>
      <c r="B2686" s="5"/>
    </row>
    <row r="2687" spans="1:2" x14ac:dyDescent="0.25">
      <c r="A2687" s="4"/>
      <c r="B2687" s="5"/>
    </row>
    <row r="2688" spans="1:2" x14ac:dyDescent="0.25">
      <c r="A2688" s="4"/>
      <c r="B2688" s="5"/>
    </row>
    <row r="2689" spans="1:2" ht="15.75" thickBot="1" x14ac:dyDescent="0.3">
      <c r="A2689" s="4"/>
      <c r="B2689" s="6"/>
    </row>
    <row r="2690" spans="1:2" ht="15.75" thickBot="1" x14ac:dyDescent="0.3">
      <c r="A2690" s="4"/>
      <c r="B2690" s="4"/>
    </row>
    <row r="2691" spans="1:2" ht="15.75" thickBot="1" x14ac:dyDescent="0.3">
      <c r="A2691" s="4"/>
      <c r="B2691" s="7" t="s">
        <v>360</v>
      </c>
    </row>
    <row r="2692" spans="1:2" x14ac:dyDescent="0.25">
      <c r="A2692" s="4"/>
      <c r="B2692" s="5" t="s">
        <v>433</v>
      </c>
    </row>
    <row r="2693" spans="1:2" x14ac:dyDescent="0.25">
      <c r="A2693" s="4"/>
      <c r="B2693" s="5" t="s">
        <v>220</v>
      </c>
    </row>
    <row r="2694" spans="1:2" x14ac:dyDescent="0.25">
      <c r="A2694" s="4"/>
      <c r="B2694" s="5"/>
    </row>
    <row r="2695" spans="1:2" x14ac:dyDescent="0.25">
      <c r="A2695" s="4"/>
      <c r="B2695" s="5"/>
    </row>
    <row r="2696" spans="1:2" x14ac:dyDescent="0.25">
      <c r="A2696" s="4"/>
      <c r="B2696" s="5"/>
    </row>
    <row r="2697" spans="1:2" x14ac:dyDescent="0.25">
      <c r="A2697" s="4"/>
      <c r="B2697" s="5"/>
    </row>
    <row r="2698" spans="1:2" x14ac:dyDescent="0.25">
      <c r="A2698" s="4"/>
      <c r="B2698" s="5"/>
    </row>
    <row r="2699" spans="1:2" x14ac:dyDescent="0.25">
      <c r="A2699" s="4"/>
      <c r="B2699" s="5"/>
    </row>
    <row r="2700" spans="1:2" x14ac:dyDescent="0.25">
      <c r="A2700" s="4"/>
      <c r="B2700" s="5"/>
    </row>
    <row r="2701" spans="1:2" ht="15.75" thickBot="1" x14ac:dyDescent="0.3">
      <c r="A2701" s="4"/>
      <c r="B2701" s="6"/>
    </row>
    <row r="2702" spans="1:2" ht="15.75" thickBot="1" x14ac:dyDescent="0.3">
      <c r="A2702" s="4"/>
      <c r="B2702" s="4"/>
    </row>
    <row r="2703" spans="1:2" ht="15.75" thickBot="1" x14ac:dyDescent="0.3">
      <c r="A2703" s="4"/>
      <c r="B2703" s="7" t="s">
        <v>361</v>
      </c>
    </row>
    <row r="2704" spans="1:2" x14ac:dyDescent="0.25">
      <c r="A2704" s="4"/>
      <c r="B2704" s="5" t="s">
        <v>158</v>
      </c>
    </row>
    <row r="2705" spans="1:2" x14ac:dyDescent="0.25">
      <c r="A2705" s="4"/>
      <c r="B2705" s="5" t="s">
        <v>159</v>
      </c>
    </row>
    <row r="2706" spans="1:2" x14ac:dyDescent="0.25">
      <c r="A2706" s="4"/>
      <c r="B2706" s="5" t="s">
        <v>220</v>
      </c>
    </row>
    <row r="2707" spans="1:2" x14ac:dyDescent="0.25">
      <c r="A2707" s="4"/>
      <c r="B2707" s="5" t="s">
        <v>153</v>
      </c>
    </row>
    <row r="2708" spans="1:2" x14ac:dyDescent="0.25">
      <c r="A2708" s="4"/>
      <c r="B2708" s="5" t="s">
        <v>433</v>
      </c>
    </row>
    <row r="2709" spans="1:2" x14ac:dyDescent="0.25">
      <c r="A2709" s="4"/>
      <c r="B2709" s="5"/>
    </row>
    <row r="2710" spans="1:2" x14ac:dyDescent="0.25">
      <c r="A2710" s="4"/>
      <c r="B2710" s="5"/>
    </row>
    <row r="2711" spans="1:2" x14ac:dyDescent="0.25">
      <c r="A2711" s="4"/>
      <c r="B2711" s="5"/>
    </row>
    <row r="2712" spans="1:2" x14ac:dyDescent="0.25">
      <c r="A2712" s="4"/>
      <c r="B2712" s="5"/>
    </row>
    <row r="2713" spans="1:2" ht="15.75" thickBot="1" x14ac:dyDescent="0.3">
      <c r="A2713" s="4"/>
      <c r="B2713" s="6"/>
    </row>
    <row r="2714" spans="1:2" ht="15.75" thickBot="1" x14ac:dyDescent="0.3">
      <c r="A2714" s="4"/>
      <c r="B2714" s="4"/>
    </row>
    <row r="2715" spans="1:2" ht="15.75" thickBot="1" x14ac:dyDescent="0.3">
      <c r="A2715" s="4"/>
      <c r="B2715" s="7" t="s">
        <v>362</v>
      </c>
    </row>
    <row r="2716" spans="1:2" x14ac:dyDescent="0.25">
      <c r="A2716" s="4"/>
      <c r="B2716" s="5" t="s">
        <v>433</v>
      </c>
    </row>
    <row r="2717" spans="1:2" x14ac:dyDescent="0.25">
      <c r="A2717" s="4"/>
      <c r="B2717" s="5" t="s">
        <v>158</v>
      </c>
    </row>
    <row r="2718" spans="1:2" x14ac:dyDescent="0.25">
      <c r="A2718" s="4"/>
      <c r="B2718" s="5" t="s">
        <v>159</v>
      </c>
    </row>
    <row r="2719" spans="1:2" x14ac:dyDescent="0.25">
      <c r="A2719" s="4"/>
      <c r="B2719" s="5" t="s">
        <v>220</v>
      </c>
    </row>
    <row r="2720" spans="1:2" x14ac:dyDescent="0.25">
      <c r="A2720" s="4"/>
      <c r="B2720" s="5" t="s">
        <v>153</v>
      </c>
    </row>
    <row r="2721" spans="1:2" x14ac:dyDescent="0.25">
      <c r="A2721" s="4"/>
      <c r="B2721" s="5"/>
    </row>
    <row r="2722" spans="1:2" x14ac:dyDescent="0.25">
      <c r="A2722" s="4"/>
      <c r="B2722" s="5"/>
    </row>
    <row r="2723" spans="1:2" x14ac:dyDescent="0.25">
      <c r="A2723" s="4"/>
      <c r="B2723" s="5"/>
    </row>
    <row r="2724" spans="1:2" x14ac:dyDescent="0.25">
      <c r="A2724" s="4"/>
      <c r="B2724" s="5"/>
    </row>
    <row r="2725" spans="1:2" ht="15.75" thickBot="1" x14ac:dyDescent="0.3">
      <c r="A2725" s="4"/>
      <c r="B2725" s="6"/>
    </row>
    <row r="2726" spans="1:2" ht="15.75" thickBot="1" x14ac:dyDescent="0.3">
      <c r="A2726" s="4"/>
      <c r="B2726" s="4"/>
    </row>
    <row r="2727" spans="1:2" ht="15.75" thickBot="1" x14ac:dyDescent="0.3">
      <c r="A2727" s="4"/>
      <c r="B2727" s="7" t="s">
        <v>363</v>
      </c>
    </row>
    <row r="2728" spans="1:2" x14ac:dyDescent="0.25">
      <c r="A2728" s="4"/>
      <c r="B2728" s="5" t="s">
        <v>158</v>
      </c>
    </row>
    <row r="2729" spans="1:2" x14ac:dyDescent="0.25">
      <c r="A2729" s="4"/>
      <c r="B2729" s="5" t="s">
        <v>159</v>
      </c>
    </row>
    <row r="2730" spans="1:2" x14ac:dyDescent="0.25">
      <c r="A2730" s="4"/>
      <c r="B2730" s="5" t="s">
        <v>220</v>
      </c>
    </row>
    <row r="2731" spans="1:2" x14ac:dyDescent="0.25">
      <c r="A2731" s="4"/>
      <c r="B2731" s="5" t="s">
        <v>153</v>
      </c>
    </row>
    <row r="2732" spans="1:2" x14ac:dyDescent="0.25">
      <c r="A2732" s="4"/>
      <c r="B2732" s="5" t="s">
        <v>433</v>
      </c>
    </row>
    <row r="2733" spans="1:2" x14ac:dyDescent="0.25">
      <c r="A2733" s="4"/>
      <c r="B2733" s="5"/>
    </row>
    <row r="2734" spans="1:2" x14ac:dyDescent="0.25">
      <c r="A2734" s="4"/>
      <c r="B2734" s="5"/>
    </row>
    <row r="2735" spans="1:2" x14ac:dyDescent="0.25">
      <c r="A2735" s="4"/>
      <c r="B2735" s="5"/>
    </row>
    <row r="2736" spans="1:2" x14ac:dyDescent="0.25">
      <c r="A2736" s="4"/>
      <c r="B2736" s="5"/>
    </row>
    <row r="2737" spans="1:2" ht="15.75" thickBot="1" x14ac:dyDescent="0.3">
      <c r="A2737" s="4"/>
      <c r="B2737" s="6"/>
    </row>
    <row r="2738" spans="1:2" ht="15.75" thickBot="1" x14ac:dyDescent="0.3">
      <c r="A2738" s="4"/>
      <c r="B2738" s="4"/>
    </row>
    <row r="2739" spans="1:2" ht="15.75" thickBot="1" x14ac:dyDescent="0.3">
      <c r="A2739" s="4"/>
      <c r="B2739" s="7" t="s">
        <v>364</v>
      </c>
    </row>
    <row r="2740" spans="1:2" x14ac:dyDescent="0.25">
      <c r="A2740" s="4"/>
      <c r="B2740" s="5" t="s">
        <v>433</v>
      </c>
    </row>
    <row r="2741" spans="1:2" x14ac:dyDescent="0.25">
      <c r="A2741" s="4"/>
      <c r="B2741" s="5" t="s">
        <v>220</v>
      </c>
    </row>
    <row r="2742" spans="1:2" x14ac:dyDescent="0.25">
      <c r="A2742" s="4"/>
      <c r="B2742" s="5" t="s">
        <v>153</v>
      </c>
    </row>
    <row r="2743" spans="1:2" x14ac:dyDescent="0.25">
      <c r="A2743" s="4"/>
      <c r="B2743" s="5"/>
    </row>
    <row r="2744" spans="1:2" x14ac:dyDescent="0.25">
      <c r="A2744" s="4"/>
      <c r="B2744" s="5"/>
    </row>
    <row r="2745" spans="1:2" x14ac:dyDescent="0.25">
      <c r="A2745" s="4"/>
      <c r="B2745" s="5"/>
    </row>
    <row r="2746" spans="1:2" x14ac:dyDescent="0.25">
      <c r="A2746" s="4"/>
      <c r="B2746" s="5"/>
    </row>
    <row r="2747" spans="1:2" x14ac:dyDescent="0.25">
      <c r="A2747" s="4"/>
      <c r="B2747" s="5"/>
    </row>
    <row r="2748" spans="1:2" x14ac:dyDescent="0.25">
      <c r="A2748" s="4"/>
      <c r="B2748" s="5"/>
    </row>
    <row r="2749" spans="1:2" ht="15.75" thickBot="1" x14ac:dyDescent="0.3">
      <c r="A2749" s="4"/>
      <c r="B2749" s="6"/>
    </row>
    <row r="2750" spans="1:2" ht="15.75" thickBot="1" x14ac:dyDescent="0.3">
      <c r="A2750" s="4"/>
      <c r="B2750" s="4"/>
    </row>
    <row r="2751" spans="1:2" ht="15.75" thickBot="1" x14ac:dyDescent="0.3">
      <c r="A2751" s="4"/>
      <c r="B2751" s="7" t="s">
        <v>365</v>
      </c>
    </row>
    <row r="2752" spans="1:2" x14ac:dyDescent="0.25">
      <c r="A2752" s="4"/>
      <c r="B2752" s="5" t="s">
        <v>158</v>
      </c>
    </row>
    <row r="2753" spans="1:2" x14ac:dyDescent="0.25">
      <c r="A2753" s="4"/>
      <c r="B2753" s="5" t="s">
        <v>159</v>
      </c>
    </row>
    <row r="2754" spans="1:2" x14ac:dyDescent="0.25">
      <c r="A2754" s="4"/>
      <c r="B2754" s="5" t="s">
        <v>220</v>
      </c>
    </row>
    <row r="2755" spans="1:2" x14ac:dyDescent="0.25">
      <c r="A2755" s="4"/>
      <c r="B2755" s="5" t="s">
        <v>153</v>
      </c>
    </row>
    <row r="2756" spans="1:2" x14ac:dyDescent="0.25">
      <c r="A2756" s="4"/>
      <c r="B2756" s="5" t="s">
        <v>433</v>
      </c>
    </row>
    <row r="2757" spans="1:2" x14ac:dyDescent="0.25">
      <c r="A2757" s="4"/>
      <c r="B2757" s="5"/>
    </row>
    <row r="2758" spans="1:2" x14ac:dyDescent="0.25">
      <c r="A2758" s="4"/>
      <c r="B2758" s="5"/>
    </row>
    <row r="2759" spans="1:2" x14ac:dyDescent="0.25">
      <c r="A2759" s="4"/>
      <c r="B2759" s="5"/>
    </row>
    <row r="2760" spans="1:2" x14ac:dyDescent="0.25">
      <c r="A2760" s="4"/>
      <c r="B2760" s="5"/>
    </row>
    <row r="2761" spans="1:2" ht="15.75" thickBot="1" x14ac:dyDescent="0.3">
      <c r="A2761" s="4"/>
      <c r="B2761" s="6"/>
    </row>
    <row r="2762" spans="1:2" ht="15.75" thickBot="1" x14ac:dyDescent="0.3">
      <c r="A2762" s="4"/>
      <c r="B2762" s="4"/>
    </row>
    <row r="2763" spans="1:2" ht="15.75" thickBot="1" x14ac:dyDescent="0.3">
      <c r="A2763" s="4"/>
      <c r="B2763" s="7" t="s">
        <v>366</v>
      </c>
    </row>
    <row r="2764" spans="1:2" x14ac:dyDescent="0.25">
      <c r="A2764" s="4"/>
      <c r="B2764" s="5" t="s">
        <v>158</v>
      </c>
    </row>
    <row r="2765" spans="1:2" x14ac:dyDescent="0.25">
      <c r="A2765" s="4"/>
      <c r="B2765" s="5" t="s">
        <v>159</v>
      </c>
    </row>
    <row r="2766" spans="1:2" x14ac:dyDescent="0.25">
      <c r="A2766" s="4"/>
      <c r="B2766" s="5" t="s">
        <v>220</v>
      </c>
    </row>
    <row r="2767" spans="1:2" x14ac:dyDescent="0.25">
      <c r="A2767" s="4"/>
      <c r="B2767" s="5" t="s">
        <v>664</v>
      </c>
    </row>
    <row r="2768" spans="1:2" x14ac:dyDescent="0.25">
      <c r="A2768" s="4"/>
      <c r="B2768" s="5" t="s">
        <v>164</v>
      </c>
    </row>
    <row r="2769" spans="1:2" x14ac:dyDescent="0.25">
      <c r="A2769" s="4"/>
      <c r="B2769" s="5" t="s">
        <v>194</v>
      </c>
    </row>
    <row r="2770" spans="1:2" x14ac:dyDescent="0.25">
      <c r="A2770" s="4"/>
      <c r="B2770" s="5"/>
    </row>
    <row r="2771" spans="1:2" x14ac:dyDescent="0.25">
      <c r="A2771" s="4"/>
      <c r="B2771" s="5"/>
    </row>
    <row r="2772" spans="1:2" x14ac:dyDescent="0.25">
      <c r="A2772" s="4"/>
      <c r="B2772" s="5"/>
    </row>
    <row r="2773" spans="1:2" ht="15.75" thickBot="1" x14ac:dyDescent="0.3">
      <c r="A2773" s="4"/>
      <c r="B2773" s="6"/>
    </row>
    <row r="2774" spans="1:2" ht="15.75" thickBot="1" x14ac:dyDescent="0.3">
      <c r="A2774" s="4"/>
      <c r="B2774" s="4"/>
    </row>
    <row r="2775" spans="1:2" ht="15.75" thickBot="1" x14ac:dyDescent="0.3">
      <c r="A2775" s="4"/>
      <c r="B2775" s="7" t="s">
        <v>367</v>
      </c>
    </row>
    <row r="2776" spans="1:2" x14ac:dyDescent="0.25">
      <c r="A2776" s="4"/>
      <c r="B2776" s="5" t="s">
        <v>220</v>
      </c>
    </row>
    <row r="2777" spans="1:2" x14ac:dyDescent="0.25">
      <c r="A2777" s="4"/>
      <c r="B2777" s="5" t="s">
        <v>164</v>
      </c>
    </row>
    <row r="2778" spans="1:2" x14ac:dyDescent="0.25">
      <c r="A2778" s="4"/>
      <c r="B2778" s="5"/>
    </row>
    <row r="2779" spans="1:2" x14ac:dyDescent="0.25">
      <c r="A2779" s="4"/>
      <c r="B2779" s="5"/>
    </row>
    <row r="2780" spans="1:2" x14ac:dyDescent="0.25">
      <c r="A2780" s="4"/>
      <c r="B2780" s="5"/>
    </row>
    <row r="2781" spans="1:2" x14ac:dyDescent="0.25">
      <c r="A2781" s="4"/>
      <c r="B2781" s="5"/>
    </row>
    <row r="2782" spans="1:2" x14ac:dyDescent="0.25">
      <c r="A2782" s="4"/>
      <c r="B2782" s="5"/>
    </row>
    <row r="2783" spans="1:2" x14ac:dyDescent="0.25">
      <c r="A2783" s="4"/>
      <c r="B2783" s="5"/>
    </row>
    <row r="2784" spans="1:2" x14ac:dyDescent="0.25">
      <c r="A2784" s="4"/>
      <c r="B2784" s="5"/>
    </row>
    <row r="2785" spans="1:2" ht="15.75" thickBot="1" x14ac:dyDescent="0.3">
      <c r="A2785" s="4"/>
      <c r="B2785" s="6"/>
    </row>
    <row r="2786" spans="1:2" ht="15.75" thickBot="1" x14ac:dyDescent="0.3">
      <c r="A2786" s="4"/>
      <c r="B2786" s="4"/>
    </row>
    <row r="2787" spans="1:2" ht="15.75" thickBot="1" x14ac:dyDescent="0.3">
      <c r="A2787" s="4"/>
      <c r="B2787" s="7" t="s">
        <v>368</v>
      </c>
    </row>
    <row r="2788" spans="1:2" x14ac:dyDescent="0.25">
      <c r="A2788" s="4"/>
      <c r="B2788" s="5" t="s">
        <v>158</v>
      </c>
    </row>
    <row r="2789" spans="1:2" x14ac:dyDescent="0.25">
      <c r="A2789" s="4"/>
      <c r="B2789" s="5" t="s">
        <v>159</v>
      </c>
    </row>
    <row r="2790" spans="1:2" x14ac:dyDescent="0.25">
      <c r="A2790" s="4"/>
      <c r="B2790" s="5" t="s">
        <v>220</v>
      </c>
    </row>
    <row r="2791" spans="1:2" x14ac:dyDescent="0.25">
      <c r="A2791" s="4"/>
      <c r="B2791" s="5" t="s">
        <v>664</v>
      </c>
    </row>
    <row r="2792" spans="1:2" x14ac:dyDescent="0.25">
      <c r="A2792" s="4"/>
      <c r="B2792" s="5" t="s">
        <v>164</v>
      </c>
    </row>
    <row r="2793" spans="1:2" x14ac:dyDescent="0.25">
      <c r="A2793" s="4"/>
      <c r="B2793" s="5" t="s">
        <v>194</v>
      </c>
    </row>
    <row r="2794" spans="1:2" x14ac:dyDescent="0.25">
      <c r="A2794" s="4"/>
      <c r="B2794" s="5"/>
    </row>
    <row r="2795" spans="1:2" x14ac:dyDescent="0.25">
      <c r="A2795" s="4"/>
      <c r="B2795" s="5"/>
    </row>
    <row r="2796" spans="1:2" x14ac:dyDescent="0.25">
      <c r="A2796" s="4"/>
      <c r="B2796" s="5"/>
    </row>
    <row r="2797" spans="1:2" ht="15.75" thickBot="1" x14ac:dyDescent="0.3">
      <c r="A2797" s="4"/>
      <c r="B2797" s="6"/>
    </row>
    <row r="2798" spans="1:2" ht="15.75" thickBot="1" x14ac:dyDescent="0.3">
      <c r="A2798" s="4"/>
      <c r="B2798" s="4"/>
    </row>
    <row r="2799" spans="1:2" ht="15.75" thickBot="1" x14ac:dyDescent="0.3">
      <c r="A2799" s="4"/>
      <c r="B2799" s="7" t="s">
        <v>693</v>
      </c>
    </row>
    <row r="2800" spans="1:2" x14ac:dyDescent="0.25">
      <c r="A2800" s="4"/>
      <c r="B2800" s="5" t="s">
        <v>158</v>
      </c>
    </row>
    <row r="2801" spans="1:2" x14ac:dyDescent="0.25">
      <c r="A2801" s="4"/>
      <c r="B2801" s="5" t="s">
        <v>159</v>
      </c>
    </row>
    <row r="2802" spans="1:2" x14ac:dyDescent="0.25">
      <c r="A2802" s="4"/>
      <c r="B2802" s="5" t="s">
        <v>220</v>
      </c>
    </row>
    <row r="2803" spans="1:2" x14ac:dyDescent="0.25">
      <c r="A2803" s="4"/>
      <c r="B2803" s="5" t="s">
        <v>664</v>
      </c>
    </row>
    <row r="2804" spans="1:2" x14ac:dyDescent="0.25">
      <c r="A2804" s="4"/>
      <c r="B2804" s="5" t="s">
        <v>164</v>
      </c>
    </row>
    <row r="2805" spans="1:2" x14ac:dyDescent="0.25">
      <c r="A2805" s="4"/>
      <c r="B2805" s="5" t="s">
        <v>194</v>
      </c>
    </row>
    <row r="2806" spans="1:2" x14ac:dyDescent="0.25">
      <c r="A2806" s="4"/>
      <c r="B2806" s="5"/>
    </row>
    <row r="2807" spans="1:2" x14ac:dyDescent="0.25">
      <c r="A2807" s="4"/>
      <c r="B2807" s="5"/>
    </row>
    <row r="2808" spans="1:2" x14ac:dyDescent="0.25">
      <c r="A2808" s="4"/>
      <c r="B2808" s="5"/>
    </row>
    <row r="2809" spans="1:2" ht="15.75" thickBot="1" x14ac:dyDescent="0.3">
      <c r="A2809" s="4"/>
      <c r="B2809" s="6"/>
    </row>
    <row r="2810" spans="1:2" ht="15.75" thickBot="1" x14ac:dyDescent="0.3">
      <c r="A2810" s="4"/>
      <c r="B2810" s="4"/>
    </row>
    <row r="2811" spans="1:2" ht="15.75" thickBot="1" x14ac:dyDescent="0.3">
      <c r="A2811" s="4"/>
      <c r="B2811" s="7" t="s">
        <v>673</v>
      </c>
    </row>
    <row r="2812" spans="1:2" x14ac:dyDescent="0.25">
      <c r="A2812" s="4"/>
      <c r="B2812" s="5" t="s">
        <v>158</v>
      </c>
    </row>
    <row r="2813" spans="1:2" x14ac:dyDescent="0.25">
      <c r="A2813" s="4"/>
      <c r="B2813" s="5" t="s">
        <v>159</v>
      </c>
    </row>
    <row r="2814" spans="1:2" x14ac:dyDescent="0.25">
      <c r="A2814" s="4"/>
      <c r="B2814" s="5" t="s">
        <v>220</v>
      </c>
    </row>
    <row r="2815" spans="1:2" x14ac:dyDescent="0.25">
      <c r="A2815" s="4"/>
      <c r="B2815" s="5" t="s">
        <v>664</v>
      </c>
    </row>
    <row r="2816" spans="1:2" x14ac:dyDescent="0.25">
      <c r="A2816" s="4"/>
      <c r="B2816" s="5" t="s">
        <v>164</v>
      </c>
    </row>
    <row r="2817" spans="1:2" x14ac:dyDescent="0.25">
      <c r="A2817" s="4"/>
      <c r="B2817" s="5" t="s">
        <v>194</v>
      </c>
    </row>
    <row r="2818" spans="1:2" x14ac:dyDescent="0.25">
      <c r="A2818" s="4"/>
      <c r="B2818" s="5"/>
    </row>
    <row r="2819" spans="1:2" x14ac:dyDescent="0.25">
      <c r="A2819" s="4"/>
      <c r="B2819" s="5"/>
    </row>
    <row r="2820" spans="1:2" x14ac:dyDescent="0.25">
      <c r="A2820" s="4"/>
      <c r="B2820" s="5"/>
    </row>
    <row r="2821" spans="1:2" ht="15.75" thickBot="1" x14ac:dyDescent="0.3">
      <c r="A2821" s="4"/>
      <c r="B2821" s="6"/>
    </row>
    <row r="2822" spans="1:2" ht="15.75" thickBot="1" x14ac:dyDescent="0.3">
      <c r="A2822" s="4"/>
      <c r="B2822" s="4"/>
    </row>
    <row r="2823" spans="1:2" ht="15.75" thickBot="1" x14ac:dyDescent="0.3">
      <c r="A2823" s="4"/>
      <c r="B2823" s="7" t="s">
        <v>369</v>
      </c>
    </row>
    <row r="2824" spans="1:2" x14ac:dyDescent="0.25">
      <c r="A2824" s="4"/>
      <c r="B2824" s="5" t="s">
        <v>220</v>
      </c>
    </row>
    <row r="2825" spans="1:2" x14ac:dyDescent="0.25">
      <c r="A2825" s="4"/>
      <c r="B2825" s="5" t="s">
        <v>664</v>
      </c>
    </row>
    <row r="2826" spans="1:2" x14ac:dyDescent="0.25">
      <c r="A2826" s="4"/>
      <c r="B2826" s="5" t="s">
        <v>164</v>
      </c>
    </row>
    <row r="2827" spans="1:2" x14ac:dyDescent="0.25">
      <c r="A2827" s="4"/>
      <c r="B2827" s="5" t="s">
        <v>194</v>
      </c>
    </row>
    <row r="2828" spans="1:2" x14ac:dyDescent="0.25">
      <c r="A2828" s="4"/>
      <c r="B2828" s="5"/>
    </row>
    <row r="2829" spans="1:2" x14ac:dyDescent="0.25">
      <c r="A2829" s="4"/>
      <c r="B2829" s="5"/>
    </row>
    <row r="2830" spans="1:2" x14ac:dyDescent="0.25">
      <c r="A2830" s="4"/>
      <c r="B2830" s="5"/>
    </row>
    <row r="2831" spans="1:2" x14ac:dyDescent="0.25">
      <c r="A2831" s="4"/>
      <c r="B2831" s="5"/>
    </row>
    <row r="2832" spans="1:2" x14ac:dyDescent="0.25">
      <c r="A2832" s="4"/>
      <c r="B2832" s="5"/>
    </row>
    <row r="2833" spans="1:2" ht="15.75" thickBot="1" x14ac:dyDescent="0.3">
      <c r="A2833" s="4"/>
      <c r="B2833" s="6"/>
    </row>
    <row r="2834" spans="1:2" ht="15.75" thickBot="1" x14ac:dyDescent="0.3">
      <c r="A2834" s="4"/>
      <c r="B2834" s="4"/>
    </row>
    <row r="2835" spans="1:2" ht="15.75" thickBot="1" x14ac:dyDescent="0.3">
      <c r="A2835" s="4"/>
      <c r="B2835" s="7" t="s">
        <v>370</v>
      </c>
    </row>
    <row r="2836" spans="1:2" x14ac:dyDescent="0.25">
      <c r="A2836" s="4"/>
      <c r="B2836" s="5" t="s">
        <v>158</v>
      </c>
    </row>
    <row r="2837" spans="1:2" x14ac:dyDescent="0.25">
      <c r="A2837" s="4"/>
      <c r="B2837" s="5" t="s">
        <v>159</v>
      </c>
    </row>
    <row r="2838" spans="1:2" x14ac:dyDescent="0.25">
      <c r="A2838" s="4"/>
      <c r="B2838" s="5" t="s">
        <v>220</v>
      </c>
    </row>
    <row r="2839" spans="1:2" x14ac:dyDescent="0.25">
      <c r="A2839" s="4"/>
      <c r="B2839" s="5" t="s">
        <v>664</v>
      </c>
    </row>
    <row r="2840" spans="1:2" x14ac:dyDescent="0.25">
      <c r="A2840" s="4"/>
      <c r="B2840" s="5" t="s">
        <v>164</v>
      </c>
    </row>
    <row r="2841" spans="1:2" x14ac:dyDescent="0.25">
      <c r="A2841" s="4"/>
      <c r="B2841" s="5" t="s">
        <v>194</v>
      </c>
    </row>
    <row r="2842" spans="1:2" x14ac:dyDescent="0.25">
      <c r="A2842" s="4"/>
      <c r="B2842" s="5"/>
    </row>
    <row r="2843" spans="1:2" x14ac:dyDescent="0.25">
      <c r="A2843" s="4"/>
      <c r="B2843" s="5"/>
    </row>
    <row r="2844" spans="1:2" x14ac:dyDescent="0.25">
      <c r="A2844" s="4"/>
      <c r="B2844" s="5"/>
    </row>
    <row r="2845" spans="1:2" ht="15.75" thickBot="1" x14ac:dyDescent="0.3">
      <c r="A2845" s="4"/>
      <c r="B2845" s="6"/>
    </row>
    <row r="2846" spans="1:2" ht="15.75" thickBot="1" x14ac:dyDescent="0.3">
      <c r="A2846" s="4"/>
      <c r="B2846" s="4"/>
    </row>
    <row r="2847" spans="1:2" ht="15.75" thickBot="1" x14ac:dyDescent="0.3">
      <c r="A2847" s="4"/>
      <c r="B2847" s="7" t="s">
        <v>371</v>
      </c>
    </row>
    <row r="2848" spans="1:2" x14ac:dyDescent="0.25">
      <c r="A2848" s="4"/>
      <c r="B2848" s="5" t="s">
        <v>157</v>
      </c>
    </row>
    <row r="2849" spans="1:6" x14ac:dyDescent="0.25">
      <c r="A2849" s="4"/>
      <c r="B2849" s="5" t="s">
        <v>158</v>
      </c>
    </row>
    <row r="2850" spans="1:6" x14ac:dyDescent="0.25">
      <c r="A2850" s="4"/>
      <c r="B2850" s="5" t="s">
        <v>159</v>
      </c>
    </row>
    <row r="2851" spans="1:6" x14ac:dyDescent="0.25">
      <c r="A2851" s="4"/>
      <c r="B2851" s="5" t="s">
        <v>153</v>
      </c>
    </row>
    <row r="2852" spans="1:6" x14ac:dyDescent="0.25">
      <c r="A2852" s="4"/>
      <c r="B2852" s="5" t="s">
        <v>154</v>
      </c>
    </row>
    <row r="2853" spans="1:6" x14ac:dyDescent="0.25">
      <c r="A2853" s="4"/>
      <c r="B2853" s="5"/>
    </row>
    <row r="2854" spans="1:6" x14ac:dyDescent="0.25">
      <c r="A2854" s="4"/>
      <c r="B2854" s="5"/>
    </row>
    <row r="2855" spans="1:6" x14ac:dyDescent="0.25">
      <c r="A2855" s="4"/>
      <c r="B2855" s="5"/>
    </row>
    <row r="2856" spans="1:6" x14ac:dyDescent="0.25">
      <c r="A2856" s="4"/>
      <c r="B2856" s="5"/>
    </row>
    <row r="2857" spans="1:6" ht="15.75" thickBot="1" x14ac:dyDescent="0.3">
      <c r="A2857" s="4"/>
      <c r="B2857" s="6"/>
    </row>
    <row r="2858" spans="1:6" ht="15.75" thickBot="1" x14ac:dyDescent="0.3">
      <c r="A2858" s="4"/>
      <c r="B2858" s="4"/>
    </row>
    <row r="2859" spans="1:6" ht="15.75" thickBot="1" x14ac:dyDescent="0.3">
      <c r="A2859" s="4"/>
      <c r="B2859" s="7" t="s">
        <v>372</v>
      </c>
      <c r="F2859">
        <v>3</v>
      </c>
    </row>
    <row r="2860" spans="1:6" x14ac:dyDescent="0.25">
      <c r="A2860" s="4"/>
      <c r="B2860" s="5" t="s">
        <v>434</v>
      </c>
    </row>
    <row r="2861" spans="1:6" x14ac:dyDescent="0.25">
      <c r="A2861" s="4"/>
      <c r="B2861" s="5" t="s">
        <v>158</v>
      </c>
    </row>
    <row r="2862" spans="1:6" x14ac:dyDescent="0.25">
      <c r="A2862" s="4"/>
      <c r="B2862" s="5" t="s">
        <v>159</v>
      </c>
    </row>
    <row r="2863" spans="1:6" x14ac:dyDescent="0.25">
      <c r="A2863" s="4"/>
      <c r="B2863" s="5" t="s">
        <v>220</v>
      </c>
    </row>
    <row r="2864" spans="1:6" x14ac:dyDescent="0.25">
      <c r="A2864" s="4"/>
      <c r="B2864" s="5" t="s">
        <v>164</v>
      </c>
    </row>
    <row r="2865" spans="1:2" x14ac:dyDescent="0.25">
      <c r="A2865" s="4"/>
      <c r="B2865" s="5" t="s">
        <v>153</v>
      </c>
    </row>
    <row r="2866" spans="1:2" x14ac:dyDescent="0.25">
      <c r="A2866" s="4"/>
      <c r="B2866" s="5"/>
    </row>
    <row r="2867" spans="1:2" x14ac:dyDescent="0.25">
      <c r="A2867" s="4"/>
      <c r="B2867" s="5"/>
    </row>
    <row r="2868" spans="1:2" x14ac:dyDescent="0.25">
      <c r="A2868" s="4"/>
      <c r="B2868" s="5"/>
    </row>
    <row r="2869" spans="1:2" ht="15.75" thickBot="1" x14ac:dyDescent="0.3">
      <c r="A2869" s="4"/>
      <c r="B2869" s="6"/>
    </row>
    <row r="2870" spans="1:2" ht="15.75" thickBot="1" x14ac:dyDescent="0.3">
      <c r="A2870" s="4"/>
      <c r="B2870" s="4"/>
    </row>
    <row r="2871" spans="1:2" ht="15.75" thickBot="1" x14ac:dyDescent="0.3">
      <c r="A2871" s="4"/>
      <c r="B2871" s="7" t="s">
        <v>373</v>
      </c>
    </row>
    <row r="2872" spans="1:2" x14ac:dyDescent="0.25">
      <c r="A2872" s="4"/>
      <c r="B2872" s="5" t="s">
        <v>220</v>
      </c>
    </row>
    <row r="2873" spans="1:2" x14ac:dyDescent="0.25">
      <c r="A2873" s="4"/>
      <c r="B2873" s="5" t="s">
        <v>164</v>
      </c>
    </row>
    <row r="2874" spans="1:2" x14ac:dyDescent="0.25">
      <c r="A2874" s="4"/>
      <c r="B2874" s="5"/>
    </row>
    <row r="2875" spans="1:2" x14ac:dyDescent="0.25">
      <c r="A2875" s="4"/>
      <c r="B2875" s="5"/>
    </row>
    <row r="2876" spans="1:2" x14ac:dyDescent="0.25">
      <c r="A2876" s="4"/>
      <c r="B2876" s="5"/>
    </row>
    <row r="2877" spans="1:2" x14ac:dyDescent="0.25">
      <c r="A2877" s="4"/>
      <c r="B2877" s="5"/>
    </row>
    <row r="2878" spans="1:2" x14ac:dyDescent="0.25">
      <c r="A2878" s="4"/>
      <c r="B2878" s="5"/>
    </row>
    <row r="2879" spans="1:2" x14ac:dyDescent="0.25">
      <c r="A2879" s="4"/>
      <c r="B2879" s="5"/>
    </row>
    <row r="2880" spans="1:2" x14ac:dyDescent="0.25">
      <c r="A2880" s="4"/>
      <c r="B2880" s="5"/>
    </row>
    <row r="2881" spans="1:2" ht="15.75" thickBot="1" x14ac:dyDescent="0.3">
      <c r="A2881" s="4"/>
      <c r="B2881" s="6"/>
    </row>
    <row r="2882" spans="1:2" ht="15.75" thickBot="1" x14ac:dyDescent="0.3">
      <c r="A2882" s="4"/>
      <c r="B2882" s="4"/>
    </row>
    <row r="2883" spans="1:2" ht="15.75" thickBot="1" x14ac:dyDescent="0.3">
      <c r="A2883" s="4"/>
      <c r="B2883" s="7" t="s">
        <v>374</v>
      </c>
    </row>
    <row r="2884" spans="1:2" x14ac:dyDescent="0.25">
      <c r="A2884" s="4"/>
      <c r="B2884" s="5" t="s">
        <v>158</v>
      </c>
    </row>
    <row r="2885" spans="1:2" x14ac:dyDescent="0.25">
      <c r="A2885" s="4"/>
      <c r="B2885" s="5" t="s">
        <v>159</v>
      </c>
    </row>
    <row r="2886" spans="1:2" x14ac:dyDescent="0.25">
      <c r="A2886" s="4"/>
      <c r="B2886" s="5" t="s">
        <v>220</v>
      </c>
    </row>
    <row r="2887" spans="1:2" x14ac:dyDescent="0.25">
      <c r="A2887" s="4"/>
      <c r="B2887" s="5" t="s">
        <v>164</v>
      </c>
    </row>
    <row r="2888" spans="1:2" x14ac:dyDescent="0.25">
      <c r="A2888" s="4"/>
      <c r="B2888" s="5" t="s">
        <v>153</v>
      </c>
    </row>
    <row r="2889" spans="1:2" x14ac:dyDescent="0.25">
      <c r="A2889" s="4"/>
      <c r="B2889" s="5" t="s">
        <v>434</v>
      </c>
    </row>
    <row r="2890" spans="1:2" x14ac:dyDescent="0.25">
      <c r="A2890" s="4"/>
      <c r="B2890" s="5"/>
    </row>
    <row r="2891" spans="1:2" x14ac:dyDescent="0.25">
      <c r="A2891" s="4"/>
      <c r="B2891" s="5"/>
    </row>
    <row r="2892" spans="1:2" x14ac:dyDescent="0.25">
      <c r="A2892" s="4"/>
      <c r="B2892" s="5"/>
    </row>
    <row r="2893" spans="1:2" ht="15.75" thickBot="1" x14ac:dyDescent="0.3">
      <c r="A2893" s="4"/>
      <c r="B2893" s="6"/>
    </row>
    <row r="2894" spans="1:2" ht="15.75" thickBot="1" x14ac:dyDescent="0.3">
      <c r="A2894" s="4"/>
      <c r="B2894" s="4"/>
    </row>
    <row r="2895" spans="1:2" ht="15.75" thickBot="1" x14ac:dyDescent="0.3">
      <c r="A2895" s="4"/>
      <c r="B2895" s="7" t="s">
        <v>375</v>
      </c>
    </row>
    <row r="2896" spans="1:2" x14ac:dyDescent="0.25">
      <c r="A2896" s="4"/>
      <c r="B2896" s="5" t="s">
        <v>434</v>
      </c>
    </row>
    <row r="2897" spans="1:2" x14ac:dyDescent="0.25">
      <c r="A2897" s="4"/>
      <c r="B2897" s="5" t="s">
        <v>158</v>
      </c>
    </row>
    <row r="2898" spans="1:2" x14ac:dyDescent="0.25">
      <c r="A2898" s="4"/>
      <c r="B2898" s="5" t="s">
        <v>159</v>
      </c>
    </row>
    <row r="2899" spans="1:2" x14ac:dyDescent="0.25">
      <c r="A2899" s="4"/>
      <c r="B2899" s="5" t="s">
        <v>220</v>
      </c>
    </row>
    <row r="2900" spans="1:2" x14ac:dyDescent="0.25">
      <c r="A2900" s="4"/>
      <c r="B2900" s="5" t="s">
        <v>164</v>
      </c>
    </row>
    <row r="2901" spans="1:2" x14ac:dyDescent="0.25">
      <c r="A2901" s="4"/>
      <c r="B2901" s="5" t="s">
        <v>153</v>
      </c>
    </row>
    <row r="2902" spans="1:2" x14ac:dyDescent="0.25">
      <c r="A2902" s="4"/>
      <c r="B2902" s="5"/>
    </row>
    <row r="2903" spans="1:2" x14ac:dyDescent="0.25">
      <c r="A2903" s="4"/>
      <c r="B2903" s="5"/>
    </row>
    <row r="2904" spans="1:2" x14ac:dyDescent="0.25">
      <c r="A2904" s="4"/>
      <c r="B2904" s="5"/>
    </row>
    <row r="2905" spans="1:2" ht="15.75" thickBot="1" x14ac:dyDescent="0.3">
      <c r="A2905" s="4"/>
      <c r="B2905" s="6"/>
    </row>
    <row r="2906" spans="1:2" ht="15.75" thickBot="1" x14ac:dyDescent="0.3">
      <c r="A2906" s="4"/>
      <c r="B2906" s="4"/>
    </row>
    <row r="2907" spans="1:2" ht="15.75" thickBot="1" x14ac:dyDescent="0.3">
      <c r="A2907" s="4"/>
      <c r="B2907" s="7" t="s">
        <v>674</v>
      </c>
    </row>
    <row r="2908" spans="1:2" x14ac:dyDescent="0.25">
      <c r="A2908" s="4"/>
      <c r="B2908" s="5" t="s">
        <v>158</v>
      </c>
    </row>
    <row r="2909" spans="1:2" x14ac:dyDescent="0.25">
      <c r="A2909" s="4"/>
      <c r="B2909" s="5" t="s">
        <v>159</v>
      </c>
    </row>
    <row r="2910" spans="1:2" x14ac:dyDescent="0.25">
      <c r="A2910" s="4"/>
      <c r="B2910" s="5" t="s">
        <v>220</v>
      </c>
    </row>
    <row r="2911" spans="1:2" x14ac:dyDescent="0.25">
      <c r="A2911" s="4"/>
      <c r="B2911" s="5" t="s">
        <v>164</v>
      </c>
    </row>
    <row r="2912" spans="1:2" x14ac:dyDescent="0.25">
      <c r="A2912" s="4"/>
      <c r="B2912" s="5" t="s">
        <v>153</v>
      </c>
    </row>
    <row r="2913" spans="1:2" x14ac:dyDescent="0.25">
      <c r="A2913" s="4"/>
      <c r="B2913" s="5" t="s">
        <v>434</v>
      </c>
    </row>
    <row r="2914" spans="1:2" x14ac:dyDescent="0.25">
      <c r="A2914" s="4"/>
      <c r="B2914" s="5"/>
    </row>
    <row r="2915" spans="1:2" x14ac:dyDescent="0.25">
      <c r="A2915" s="4"/>
      <c r="B2915" s="5"/>
    </row>
    <row r="2916" spans="1:2" x14ac:dyDescent="0.25">
      <c r="A2916" s="4"/>
      <c r="B2916" s="5"/>
    </row>
    <row r="2917" spans="1:2" ht="15.75" thickBot="1" x14ac:dyDescent="0.3">
      <c r="A2917" s="4"/>
      <c r="B2917" s="6"/>
    </row>
    <row r="2918" spans="1:2" ht="15.75" thickBot="1" x14ac:dyDescent="0.3">
      <c r="A2918" s="4"/>
      <c r="B2918" s="4"/>
    </row>
    <row r="2919" spans="1:2" ht="15.75" thickBot="1" x14ac:dyDescent="0.3">
      <c r="A2919" s="4"/>
      <c r="B2919" s="7" t="s">
        <v>698</v>
      </c>
    </row>
    <row r="2920" spans="1:2" x14ac:dyDescent="0.25">
      <c r="A2920" s="4"/>
      <c r="B2920" s="5" t="s">
        <v>434</v>
      </c>
    </row>
    <row r="2921" spans="1:2" x14ac:dyDescent="0.25">
      <c r="A2921" s="4"/>
      <c r="B2921" s="5" t="s">
        <v>220</v>
      </c>
    </row>
    <row r="2922" spans="1:2" x14ac:dyDescent="0.25">
      <c r="A2922" s="4"/>
      <c r="B2922" s="5" t="s">
        <v>164</v>
      </c>
    </row>
    <row r="2923" spans="1:2" x14ac:dyDescent="0.25">
      <c r="A2923" s="4"/>
      <c r="B2923" s="5" t="s">
        <v>153</v>
      </c>
    </row>
    <row r="2924" spans="1:2" x14ac:dyDescent="0.25">
      <c r="A2924" s="4"/>
      <c r="B2924" s="5"/>
    </row>
    <row r="2925" spans="1:2" x14ac:dyDescent="0.25">
      <c r="A2925" s="4"/>
      <c r="B2925" s="5"/>
    </row>
    <row r="2926" spans="1:2" x14ac:dyDescent="0.25">
      <c r="A2926" s="4"/>
      <c r="B2926" s="5"/>
    </row>
    <row r="2927" spans="1:2" x14ac:dyDescent="0.25">
      <c r="A2927" s="4"/>
      <c r="B2927" s="5"/>
    </row>
    <row r="2928" spans="1:2" x14ac:dyDescent="0.25">
      <c r="A2928" s="4"/>
      <c r="B2928" s="5"/>
    </row>
    <row r="2929" spans="1:2" ht="15.75" thickBot="1" x14ac:dyDescent="0.3">
      <c r="A2929" s="4"/>
      <c r="B2929" s="6"/>
    </row>
    <row r="2930" spans="1:2" ht="15.75" thickBot="1" x14ac:dyDescent="0.3">
      <c r="A2930" s="4"/>
      <c r="B2930" s="4"/>
    </row>
    <row r="2931" spans="1:2" ht="15.75" thickBot="1" x14ac:dyDescent="0.3">
      <c r="A2931" s="4"/>
      <c r="B2931" s="7" t="s">
        <v>376</v>
      </c>
    </row>
    <row r="2932" spans="1:2" x14ac:dyDescent="0.25">
      <c r="A2932" s="4"/>
      <c r="B2932" s="5" t="s">
        <v>158</v>
      </c>
    </row>
    <row r="2933" spans="1:2" x14ac:dyDescent="0.25">
      <c r="A2933" s="4"/>
      <c r="B2933" s="5" t="s">
        <v>159</v>
      </c>
    </row>
    <row r="2934" spans="1:2" x14ac:dyDescent="0.25">
      <c r="A2934" s="4"/>
      <c r="B2934" s="5" t="s">
        <v>220</v>
      </c>
    </row>
    <row r="2935" spans="1:2" x14ac:dyDescent="0.25">
      <c r="A2935" s="4"/>
      <c r="B2935" s="5" t="s">
        <v>164</v>
      </c>
    </row>
    <row r="2936" spans="1:2" x14ac:dyDescent="0.25">
      <c r="A2936" s="4"/>
      <c r="B2936" s="5" t="s">
        <v>153</v>
      </c>
    </row>
    <row r="2937" spans="1:2" x14ac:dyDescent="0.25">
      <c r="A2937" s="4"/>
      <c r="B2937" s="5" t="s">
        <v>434</v>
      </c>
    </row>
    <row r="2938" spans="1:2" x14ac:dyDescent="0.25">
      <c r="A2938" s="4"/>
      <c r="B2938" s="5"/>
    </row>
    <row r="2939" spans="1:2" x14ac:dyDescent="0.25">
      <c r="A2939" s="4"/>
      <c r="B2939" s="5"/>
    </row>
    <row r="2940" spans="1:2" x14ac:dyDescent="0.25">
      <c r="A2940" s="4"/>
      <c r="B2940" s="5"/>
    </row>
    <row r="2941" spans="1:2" ht="15.75" thickBot="1" x14ac:dyDescent="0.3">
      <c r="A2941" s="4"/>
      <c r="B2941" s="6"/>
    </row>
    <row r="2942" spans="1:2" ht="15.75" thickBot="1" x14ac:dyDescent="0.3">
      <c r="A2942" s="4"/>
      <c r="B2942" s="4"/>
    </row>
    <row r="2943" spans="1:2" ht="15.75" thickBot="1" x14ac:dyDescent="0.3">
      <c r="A2943" s="4"/>
      <c r="B2943" s="7" t="s">
        <v>377</v>
      </c>
    </row>
    <row r="2944" spans="1:2" x14ac:dyDescent="0.25">
      <c r="A2944" s="4"/>
      <c r="B2944" s="5" t="s">
        <v>158</v>
      </c>
    </row>
    <row r="2945" spans="1:2" x14ac:dyDescent="0.25">
      <c r="A2945" s="4"/>
      <c r="B2945" s="5" t="s">
        <v>159</v>
      </c>
    </row>
    <row r="2946" spans="1:2" x14ac:dyDescent="0.25">
      <c r="A2946" s="4"/>
      <c r="B2946" s="5" t="s">
        <v>220</v>
      </c>
    </row>
    <row r="2947" spans="1:2" x14ac:dyDescent="0.25">
      <c r="A2947" s="4"/>
      <c r="B2947" s="5" t="s">
        <v>164</v>
      </c>
    </row>
    <row r="2948" spans="1:2" x14ac:dyDescent="0.25">
      <c r="A2948" s="4"/>
      <c r="B2948" s="5" t="s">
        <v>435</v>
      </c>
    </row>
    <row r="2949" spans="1:2" x14ac:dyDescent="0.25">
      <c r="A2949" s="4"/>
      <c r="B2949" s="5"/>
    </row>
    <row r="2950" spans="1:2" x14ac:dyDescent="0.25">
      <c r="A2950" s="4"/>
      <c r="B2950" s="5"/>
    </row>
    <row r="2951" spans="1:2" x14ac:dyDescent="0.25">
      <c r="A2951" s="4"/>
      <c r="B2951" s="5"/>
    </row>
    <row r="2952" spans="1:2" x14ac:dyDescent="0.25">
      <c r="A2952" s="4"/>
      <c r="B2952" s="5"/>
    </row>
    <row r="2953" spans="1:2" ht="15.75" thickBot="1" x14ac:dyDescent="0.3">
      <c r="A2953" s="4"/>
      <c r="B2953" s="6"/>
    </row>
    <row r="2954" spans="1:2" ht="15.75" thickBot="1" x14ac:dyDescent="0.3">
      <c r="A2954" s="4"/>
      <c r="B2954" s="4"/>
    </row>
    <row r="2955" spans="1:2" ht="15.75" thickBot="1" x14ac:dyDescent="0.3">
      <c r="A2955" s="4"/>
      <c r="B2955" s="7" t="s">
        <v>378</v>
      </c>
    </row>
    <row r="2956" spans="1:2" x14ac:dyDescent="0.25">
      <c r="A2956" s="4"/>
      <c r="B2956" s="5" t="s">
        <v>435</v>
      </c>
    </row>
    <row r="2957" spans="1:2" x14ac:dyDescent="0.25">
      <c r="A2957" s="4"/>
      <c r="B2957" s="5" t="s">
        <v>220</v>
      </c>
    </row>
    <row r="2958" spans="1:2" x14ac:dyDescent="0.25">
      <c r="A2958" s="4"/>
      <c r="B2958" s="5" t="s">
        <v>164</v>
      </c>
    </row>
    <row r="2959" spans="1:2" x14ac:dyDescent="0.25">
      <c r="A2959" s="4"/>
      <c r="B2959" s="5"/>
    </row>
    <row r="2960" spans="1:2" x14ac:dyDescent="0.25">
      <c r="A2960" s="4"/>
      <c r="B2960" s="5"/>
    </row>
    <row r="2961" spans="1:2" x14ac:dyDescent="0.25">
      <c r="A2961" s="4"/>
      <c r="B2961" s="5"/>
    </row>
    <row r="2962" spans="1:2" x14ac:dyDescent="0.25">
      <c r="A2962" s="4"/>
      <c r="B2962" s="5"/>
    </row>
    <row r="2963" spans="1:2" x14ac:dyDescent="0.25">
      <c r="A2963" s="4"/>
      <c r="B2963" s="5"/>
    </row>
    <row r="2964" spans="1:2" x14ac:dyDescent="0.25">
      <c r="A2964" s="4"/>
      <c r="B2964" s="5"/>
    </row>
    <row r="2965" spans="1:2" ht="15.75" thickBot="1" x14ac:dyDescent="0.3">
      <c r="A2965" s="4"/>
      <c r="B2965" s="6"/>
    </row>
    <row r="2966" spans="1:2" ht="15.75" thickBot="1" x14ac:dyDescent="0.3">
      <c r="A2966" s="4"/>
      <c r="B2966" s="4"/>
    </row>
    <row r="2967" spans="1:2" ht="15.75" thickBot="1" x14ac:dyDescent="0.3">
      <c r="A2967" s="4"/>
      <c r="B2967" s="7" t="s">
        <v>379</v>
      </c>
    </row>
    <row r="2968" spans="1:2" x14ac:dyDescent="0.25">
      <c r="A2968" s="4"/>
      <c r="B2968" s="5" t="s">
        <v>158</v>
      </c>
    </row>
    <row r="2969" spans="1:2" x14ac:dyDescent="0.25">
      <c r="A2969" s="4"/>
      <c r="B2969" s="5" t="s">
        <v>159</v>
      </c>
    </row>
    <row r="2970" spans="1:2" x14ac:dyDescent="0.25">
      <c r="A2970" s="4"/>
      <c r="B2970" s="5" t="s">
        <v>220</v>
      </c>
    </row>
    <row r="2971" spans="1:2" x14ac:dyDescent="0.25">
      <c r="A2971" s="4"/>
      <c r="B2971" s="5" t="s">
        <v>164</v>
      </c>
    </row>
    <row r="2972" spans="1:2" x14ac:dyDescent="0.25">
      <c r="A2972" s="4"/>
      <c r="B2972" s="5" t="s">
        <v>435</v>
      </c>
    </row>
    <row r="2973" spans="1:2" x14ac:dyDescent="0.25">
      <c r="A2973" s="4"/>
      <c r="B2973" s="5"/>
    </row>
    <row r="2974" spans="1:2" x14ac:dyDescent="0.25">
      <c r="A2974" s="4"/>
      <c r="B2974" s="5"/>
    </row>
    <row r="2975" spans="1:2" x14ac:dyDescent="0.25">
      <c r="A2975" s="4"/>
      <c r="B2975" s="5"/>
    </row>
    <row r="2976" spans="1:2" x14ac:dyDescent="0.25">
      <c r="A2976" s="4"/>
      <c r="B2976" s="5"/>
    </row>
    <row r="2977" spans="1:2" ht="15.75" thickBot="1" x14ac:dyDescent="0.3">
      <c r="A2977" s="4"/>
      <c r="B2977" s="6"/>
    </row>
    <row r="2978" spans="1:2" ht="15.75" thickBot="1" x14ac:dyDescent="0.3">
      <c r="A2978" s="4"/>
      <c r="B2978" s="4"/>
    </row>
    <row r="2979" spans="1:2" ht="15.75" thickBot="1" x14ac:dyDescent="0.3">
      <c r="A2979" s="4"/>
      <c r="B2979" s="7" t="s">
        <v>380</v>
      </c>
    </row>
    <row r="2980" spans="1:2" x14ac:dyDescent="0.25">
      <c r="A2980" s="4"/>
      <c r="B2980" s="5" t="s">
        <v>435</v>
      </c>
    </row>
    <row r="2981" spans="1:2" x14ac:dyDescent="0.25">
      <c r="A2981" s="4"/>
      <c r="B2981" s="5" t="s">
        <v>158</v>
      </c>
    </row>
    <row r="2982" spans="1:2" x14ac:dyDescent="0.25">
      <c r="A2982" s="4"/>
      <c r="B2982" s="5" t="s">
        <v>159</v>
      </c>
    </row>
    <row r="2983" spans="1:2" x14ac:dyDescent="0.25">
      <c r="A2983" s="4"/>
      <c r="B2983" s="5" t="s">
        <v>220</v>
      </c>
    </row>
    <row r="2984" spans="1:2" x14ac:dyDescent="0.25">
      <c r="A2984" s="4"/>
      <c r="B2984" s="5" t="s">
        <v>164</v>
      </c>
    </row>
    <row r="2985" spans="1:2" x14ac:dyDescent="0.25">
      <c r="A2985" s="4"/>
      <c r="B2985" s="5"/>
    </row>
    <row r="2986" spans="1:2" x14ac:dyDescent="0.25">
      <c r="A2986" s="4"/>
      <c r="B2986" s="5"/>
    </row>
    <row r="2987" spans="1:2" x14ac:dyDescent="0.25">
      <c r="A2987" s="4"/>
      <c r="B2987" s="5"/>
    </row>
    <row r="2988" spans="1:2" x14ac:dyDescent="0.25">
      <c r="A2988" s="4"/>
      <c r="B2988" s="5"/>
    </row>
    <row r="2989" spans="1:2" ht="15.75" thickBot="1" x14ac:dyDescent="0.3">
      <c r="A2989" s="4"/>
      <c r="B2989" s="6"/>
    </row>
    <row r="2990" spans="1:2" ht="15.75" thickBot="1" x14ac:dyDescent="0.3">
      <c r="A2990" s="4"/>
      <c r="B2990" s="4"/>
    </row>
    <row r="2991" spans="1:2" ht="15.75" thickBot="1" x14ac:dyDescent="0.3">
      <c r="A2991" s="4"/>
      <c r="B2991" s="7" t="s">
        <v>381</v>
      </c>
    </row>
    <row r="2992" spans="1:2" x14ac:dyDescent="0.25">
      <c r="A2992" s="4"/>
      <c r="B2992" s="5" t="s">
        <v>158</v>
      </c>
    </row>
    <row r="2993" spans="1:2" x14ac:dyDescent="0.25">
      <c r="A2993" s="4"/>
      <c r="B2993" s="5" t="s">
        <v>159</v>
      </c>
    </row>
    <row r="2994" spans="1:2" x14ac:dyDescent="0.25">
      <c r="A2994" s="4"/>
      <c r="B2994" s="5" t="s">
        <v>220</v>
      </c>
    </row>
    <row r="2995" spans="1:2" x14ac:dyDescent="0.25">
      <c r="A2995" s="4"/>
      <c r="B2995" s="5" t="s">
        <v>164</v>
      </c>
    </row>
    <row r="2996" spans="1:2" x14ac:dyDescent="0.25">
      <c r="A2996" s="4"/>
      <c r="B2996" s="5" t="s">
        <v>435</v>
      </c>
    </row>
    <row r="2997" spans="1:2" x14ac:dyDescent="0.25">
      <c r="A2997" s="4"/>
      <c r="B2997" s="5"/>
    </row>
    <row r="2998" spans="1:2" x14ac:dyDescent="0.25">
      <c r="A2998" s="4"/>
      <c r="B2998" s="5"/>
    </row>
    <row r="2999" spans="1:2" x14ac:dyDescent="0.25">
      <c r="A2999" s="4"/>
      <c r="B2999" s="5"/>
    </row>
    <row r="3000" spans="1:2" x14ac:dyDescent="0.25">
      <c r="A3000" s="4"/>
      <c r="B3000" s="5"/>
    </row>
    <row r="3001" spans="1:2" ht="15.75" thickBot="1" x14ac:dyDescent="0.3">
      <c r="A3001" s="4"/>
      <c r="B3001" s="6"/>
    </row>
    <row r="3002" spans="1:2" ht="15.75" thickBot="1" x14ac:dyDescent="0.3">
      <c r="A3002" s="4"/>
      <c r="B3002" s="4"/>
    </row>
    <row r="3003" spans="1:2" ht="15.75" thickBot="1" x14ac:dyDescent="0.3">
      <c r="A3003" s="4"/>
      <c r="B3003" s="7" t="s">
        <v>382</v>
      </c>
    </row>
    <row r="3004" spans="1:2" x14ac:dyDescent="0.25">
      <c r="A3004" s="4"/>
      <c r="B3004" s="5" t="s">
        <v>435</v>
      </c>
    </row>
    <row r="3005" spans="1:2" x14ac:dyDescent="0.25">
      <c r="A3005" s="4"/>
      <c r="B3005" s="5" t="s">
        <v>220</v>
      </c>
    </row>
    <row r="3006" spans="1:2" x14ac:dyDescent="0.25">
      <c r="A3006" s="4"/>
      <c r="B3006" s="5" t="s">
        <v>164</v>
      </c>
    </row>
    <row r="3007" spans="1:2" x14ac:dyDescent="0.25">
      <c r="A3007" s="4"/>
      <c r="B3007" s="5"/>
    </row>
    <row r="3008" spans="1:2" x14ac:dyDescent="0.25">
      <c r="A3008" s="4"/>
      <c r="B3008" s="5"/>
    </row>
    <row r="3009" spans="1:2" x14ac:dyDescent="0.25">
      <c r="A3009" s="4"/>
      <c r="B3009" s="5"/>
    </row>
    <row r="3010" spans="1:2" x14ac:dyDescent="0.25">
      <c r="A3010" s="4"/>
      <c r="B3010" s="5"/>
    </row>
    <row r="3011" spans="1:2" x14ac:dyDescent="0.25">
      <c r="A3011" s="4"/>
      <c r="B3011" s="5"/>
    </row>
    <row r="3012" spans="1:2" x14ac:dyDescent="0.25">
      <c r="A3012" s="4"/>
      <c r="B3012" s="5"/>
    </row>
    <row r="3013" spans="1:2" ht="15.75" thickBot="1" x14ac:dyDescent="0.3">
      <c r="A3013" s="4"/>
      <c r="B3013" s="6"/>
    </row>
    <row r="3014" spans="1:2" ht="15.75" thickBot="1" x14ac:dyDescent="0.3">
      <c r="A3014" s="4"/>
      <c r="B3014" s="4"/>
    </row>
    <row r="3015" spans="1:2" ht="15.75" thickBot="1" x14ac:dyDescent="0.3">
      <c r="A3015" s="4"/>
      <c r="B3015" s="7" t="s">
        <v>383</v>
      </c>
    </row>
    <row r="3016" spans="1:2" x14ac:dyDescent="0.25">
      <c r="A3016" s="4"/>
      <c r="B3016" s="5" t="s">
        <v>158</v>
      </c>
    </row>
    <row r="3017" spans="1:2" x14ac:dyDescent="0.25">
      <c r="A3017" s="4"/>
      <c r="B3017" s="5" t="s">
        <v>159</v>
      </c>
    </row>
    <row r="3018" spans="1:2" x14ac:dyDescent="0.25">
      <c r="A3018" s="4"/>
      <c r="B3018" s="5" t="s">
        <v>220</v>
      </c>
    </row>
    <row r="3019" spans="1:2" x14ac:dyDescent="0.25">
      <c r="A3019" s="4"/>
      <c r="B3019" s="5" t="s">
        <v>164</v>
      </c>
    </row>
    <row r="3020" spans="1:2" x14ac:dyDescent="0.25">
      <c r="A3020" s="4"/>
      <c r="B3020" s="5" t="s">
        <v>435</v>
      </c>
    </row>
    <row r="3021" spans="1:2" x14ac:dyDescent="0.25">
      <c r="A3021" s="4"/>
      <c r="B3021" s="5"/>
    </row>
    <row r="3022" spans="1:2" x14ac:dyDescent="0.25">
      <c r="A3022" s="4"/>
      <c r="B3022" s="5"/>
    </row>
    <row r="3023" spans="1:2" x14ac:dyDescent="0.25">
      <c r="A3023" s="4"/>
      <c r="B3023" s="5"/>
    </row>
    <row r="3024" spans="1:2" x14ac:dyDescent="0.25">
      <c r="A3024" s="4"/>
      <c r="B3024" s="5"/>
    </row>
    <row r="3025" spans="1:2" ht="15.75" thickBot="1" x14ac:dyDescent="0.3">
      <c r="A3025" s="4"/>
      <c r="B3025" s="6"/>
    </row>
    <row r="3026" spans="1:2" ht="15.75" thickBot="1" x14ac:dyDescent="0.3">
      <c r="A3026" s="4"/>
      <c r="B3026" s="4"/>
    </row>
    <row r="3027" spans="1:2" ht="15.75" thickBot="1" x14ac:dyDescent="0.3">
      <c r="A3027" s="4"/>
      <c r="B3027" s="7" t="s">
        <v>679</v>
      </c>
    </row>
    <row r="3028" spans="1:2" x14ac:dyDescent="0.25">
      <c r="A3028" s="4"/>
      <c r="B3028" s="5" t="s">
        <v>436</v>
      </c>
    </row>
    <row r="3029" spans="1:2" x14ac:dyDescent="0.25">
      <c r="A3029" s="4"/>
      <c r="B3029" s="5" t="s">
        <v>158</v>
      </c>
    </row>
    <row r="3030" spans="1:2" x14ac:dyDescent="0.25">
      <c r="A3030" s="4"/>
      <c r="B3030" s="5" t="s">
        <v>159</v>
      </c>
    </row>
    <row r="3031" spans="1:2" x14ac:dyDescent="0.25">
      <c r="A3031" s="4"/>
      <c r="B3031" s="5" t="s">
        <v>220</v>
      </c>
    </row>
    <row r="3032" spans="1:2" x14ac:dyDescent="0.25">
      <c r="A3032" s="4"/>
      <c r="B3032" s="5" t="s">
        <v>664</v>
      </c>
    </row>
    <row r="3033" spans="1:2" x14ac:dyDescent="0.25">
      <c r="A3033" s="4"/>
      <c r="B3033" s="5" t="s">
        <v>194</v>
      </c>
    </row>
    <row r="3034" spans="1:2" x14ac:dyDescent="0.25">
      <c r="A3034" s="4"/>
      <c r="B3034" s="5"/>
    </row>
    <row r="3035" spans="1:2" x14ac:dyDescent="0.25">
      <c r="A3035" s="4"/>
      <c r="B3035" s="5"/>
    </row>
    <row r="3036" spans="1:2" x14ac:dyDescent="0.25">
      <c r="A3036" s="4"/>
      <c r="B3036" s="5"/>
    </row>
    <row r="3037" spans="1:2" ht="15.75" thickBot="1" x14ac:dyDescent="0.3">
      <c r="A3037" s="4"/>
      <c r="B3037" s="6"/>
    </row>
    <row r="3038" spans="1:2" ht="15.75" thickBot="1" x14ac:dyDescent="0.3">
      <c r="A3038" s="4"/>
      <c r="B3038" s="4"/>
    </row>
    <row r="3039" spans="1:2" ht="15.75" thickBot="1" x14ac:dyDescent="0.3">
      <c r="A3039" s="4"/>
      <c r="B3039" s="7" t="s">
        <v>384</v>
      </c>
    </row>
    <row r="3040" spans="1:2" x14ac:dyDescent="0.25">
      <c r="A3040" s="4"/>
      <c r="B3040" s="5" t="s">
        <v>220</v>
      </c>
    </row>
    <row r="3041" spans="1:2" x14ac:dyDescent="0.25">
      <c r="A3041" s="4"/>
      <c r="B3041" s="5" t="s">
        <v>436</v>
      </c>
    </row>
    <row r="3042" spans="1:2" x14ac:dyDescent="0.25">
      <c r="A3042" s="4"/>
      <c r="B3042" s="5"/>
    </row>
    <row r="3043" spans="1:2" x14ac:dyDescent="0.25">
      <c r="A3043" s="4"/>
      <c r="B3043" s="5"/>
    </row>
    <row r="3044" spans="1:2" x14ac:dyDescent="0.25">
      <c r="A3044" s="4"/>
      <c r="B3044" s="5"/>
    </row>
    <row r="3045" spans="1:2" x14ac:dyDescent="0.25">
      <c r="A3045" s="4"/>
      <c r="B3045" s="5"/>
    </row>
    <row r="3046" spans="1:2" x14ac:dyDescent="0.25">
      <c r="A3046" s="4"/>
      <c r="B3046" s="5"/>
    </row>
    <row r="3047" spans="1:2" x14ac:dyDescent="0.25">
      <c r="A3047" s="4"/>
      <c r="B3047" s="5"/>
    </row>
    <row r="3048" spans="1:2" x14ac:dyDescent="0.25">
      <c r="A3048" s="4"/>
      <c r="B3048" s="5"/>
    </row>
    <row r="3049" spans="1:2" ht="15.75" thickBot="1" x14ac:dyDescent="0.3">
      <c r="A3049" s="4"/>
      <c r="B3049" s="6"/>
    </row>
    <row r="3050" spans="1:2" ht="15.75" thickBot="1" x14ac:dyDescent="0.3">
      <c r="A3050" s="4"/>
      <c r="B3050" s="4"/>
    </row>
    <row r="3051" spans="1:2" ht="15.75" thickBot="1" x14ac:dyDescent="0.3">
      <c r="A3051" s="4"/>
      <c r="B3051" s="7" t="s">
        <v>385</v>
      </c>
    </row>
    <row r="3052" spans="1:2" x14ac:dyDescent="0.25">
      <c r="A3052" s="4"/>
      <c r="B3052" s="5" t="s">
        <v>436</v>
      </c>
    </row>
    <row r="3053" spans="1:2" x14ac:dyDescent="0.25">
      <c r="A3053" s="4"/>
      <c r="B3053" s="5" t="s">
        <v>158</v>
      </c>
    </row>
    <row r="3054" spans="1:2" x14ac:dyDescent="0.25">
      <c r="A3054" s="4"/>
      <c r="B3054" s="5" t="s">
        <v>159</v>
      </c>
    </row>
    <row r="3055" spans="1:2" x14ac:dyDescent="0.25">
      <c r="A3055" s="4"/>
      <c r="B3055" s="5" t="s">
        <v>220</v>
      </c>
    </row>
    <row r="3056" spans="1:2" x14ac:dyDescent="0.25">
      <c r="A3056" s="4"/>
      <c r="B3056" s="5" t="s">
        <v>664</v>
      </c>
    </row>
    <row r="3057" spans="1:2" x14ac:dyDescent="0.25">
      <c r="A3057" s="4"/>
      <c r="B3057" s="5" t="s">
        <v>194</v>
      </c>
    </row>
    <row r="3058" spans="1:2" x14ac:dyDescent="0.25">
      <c r="A3058" s="4"/>
      <c r="B3058" s="5"/>
    </row>
    <row r="3059" spans="1:2" x14ac:dyDescent="0.25">
      <c r="A3059" s="4"/>
      <c r="B3059" s="5"/>
    </row>
    <row r="3060" spans="1:2" x14ac:dyDescent="0.25">
      <c r="A3060" s="4"/>
      <c r="B3060" s="5"/>
    </row>
    <row r="3061" spans="1:2" ht="15.75" thickBot="1" x14ac:dyDescent="0.3">
      <c r="A3061" s="4"/>
      <c r="B3061" s="6"/>
    </row>
    <row r="3062" spans="1:2" ht="15.75" thickBot="1" x14ac:dyDescent="0.3">
      <c r="A3062" s="4"/>
      <c r="B3062" s="4"/>
    </row>
    <row r="3063" spans="1:2" ht="15.75" thickBot="1" x14ac:dyDescent="0.3">
      <c r="A3063" s="4"/>
      <c r="B3063" s="7" t="s">
        <v>386</v>
      </c>
    </row>
    <row r="3064" spans="1:2" x14ac:dyDescent="0.25">
      <c r="A3064" s="4"/>
      <c r="B3064" s="5" t="s">
        <v>158</v>
      </c>
    </row>
    <row r="3065" spans="1:2" x14ac:dyDescent="0.25">
      <c r="A3065" s="4"/>
      <c r="B3065" s="5" t="s">
        <v>159</v>
      </c>
    </row>
    <row r="3066" spans="1:2" x14ac:dyDescent="0.25">
      <c r="A3066" s="4"/>
      <c r="B3066" s="5" t="s">
        <v>220</v>
      </c>
    </row>
    <row r="3067" spans="1:2" x14ac:dyDescent="0.25">
      <c r="A3067" s="4"/>
      <c r="B3067" s="5" t="s">
        <v>664</v>
      </c>
    </row>
    <row r="3068" spans="1:2" x14ac:dyDescent="0.25">
      <c r="A3068" s="4"/>
      <c r="B3068" s="5" t="s">
        <v>194</v>
      </c>
    </row>
    <row r="3069" spans="1:2" x14ac:dyDescent="0.25">
      <c r="A3069" s="4"/>
      <c r="B3069" s="5" t="s">
        <v>436</v>
      </c>
    </row>
    <row r="3070" spans="1:2" x14ac:dyDescent="0.25">
      <c r="A3070" s="4"/>
      <c r="B3070" s="5"/>
    </row>
    <row r="3071" spans="1:2" x14ac:dyDescent="0.25">
      <c r="A3071" s="4"/>
      <c r="B3071" s="5"/>
    </row>
    <row r="3072" spans="1:2" x14ac:dyDescent="0.25">
      <c r="A3072" s="4"/>
      <c r="B3072" s="5"/>
    </row>
    <row r="3073" spans="1:2" ht="15.75" thickBot="1" x14ac:dyDescent="0.3">
      <c r="A3073" s="4"/>
      <c r="B3073" s="6"/>
    </row>
    <row r="3074" spans="1:2" ht="15.75" thickBot="1" x14ac:dyDescent="0.3">
      <c r="A3074" s="4"/>
      <c r="B3074" s="4"/>
    </row>
    <row r="3075" spans="1:2" ht="15.75" thickBot="1" x14ac:dyDescent="0.3">
      <c r="A3075" s="4"/>
      <c r="B3075" s="7" t="s">
        <v>684</v>
      </c>
    </row>
    <row r="3076" spans="1:2" x14ac:dyDescent="0.25">
      <c r="A3076" s="4"/>
      <c r="B3076" s="5" t="s">
        <v>436</v>
      </c>
    </row>
    <row r="3077" spans="1:2" x14ac:dyDescent="0.25">
      <c r="A3077" s="4"/>
      <c r="B3077" s="5" t="s">
        <v>158</v>
      </c>
    </row>
    <row r="3078" spans="1:2" x14ac:dyDescent="0.25">
      <c r="A3078" s="4"/>
      <c r="B3078" s="5" t="s">
        <v>159</v>
      </c>
    </row>
    <row r="3079" spans="1:2" x14ac:dyDescent="0.25">
      <c r="A3079" s="4"/>
      <c r="B3079" s="5" t="s">
        <v>220</v>
      </c>
    </row>
    <row r="3080" spans="1:2" x14ac:dyDescent="0.25">
      <c r="A3080" s="4"/>
      <c r="B3080" s="5" t="s">
        <v>664</v>
      </c>
    </row>
    <row r="3081" spans="1:2" x14ac:dyDescent="0.25">
      <c r="A3081" s="4"/>
      <c r="B3081" s="5" t="s">
        <v>194</v>
      </c>
    </row>
    <row r="3082" spans="1:2" x14ac:dyDescent="0.25">
      <c r="A3082" s="4"/>
      <c r="B3082" s="5"/>
    </row>
    <row r="3083" spans="1:2" x14ac:dyDescent="0.25">
      <c r="A3083" s="4"/>
      <c r="B3083" s="5"/>
    </row>
    <row r="3084" spans="1:2" x14ac:dyDescent="0.25">
      <c r="A3084" s="4"/>
      <c r="B3084" s="5"/>
    </row>
    <row r="3085" spans="1:2" ht="15.75" thickBot="1" x14ac:dyDescent="0.3">
      <c r="A3085" s="4"/>
      <c r="B3085" s="6"/>
    </row>
    <row r="3086" spans="1:2" ht="15.75" thickBot="1" x14ac:dyDescent="0.3">
      <c r="A3086" s="4"/>
      <c r="B3086" s="4"/>
    </row>
    <row r="3087" spans="1:2" ht="15.75" thickBot="1" x14ac:dyDescent="0.3">
      <c r="A3087" s="4"/>
      <c r="B3087" s="7" t="s">
        <v>699</v>
      </c>
    </row>
    <row r="3088" spans="1:2" x14ac:dyDescent="0.25">
      <c r="A3088" s="4"/>
      <c r="B3088" s="5" t="s">
        <v>220</v>
      </c>
    </row>
    <row r="3089" spans="1:2" x14ac:dyDescent="0.25">
      <c r="A3089" s="4"/>
      <c r="B3089" s="5" t="s">
        <v>664</v>
      </c>
    </row>
    <row r="3090" spans="1:2" x14ac:dyDescent="0.25">
      <c r="A3090" s="4"/>
      <c r="B3090" s="5" t="s">
        <v>194</v>
      </c>
    </row>
    <row r="3091" spans="1:2" x14ac:dyDescent="0.25">
      <c r="A3091" s="4"/>
      <c r="B3091" s="5" t="s">
        <v>436</v>
      </c>
    </row>
    <row r="3092" spans="1:2" x14ac:dyDescent="0.25">
      <c r="A3092" s="4"/>
      <c r="B3092" s="5"/>
    </row>
    <row r="3093" spans="1:2" x14ac:dyDescent="0.25">
      <c r="A3093" s="4"/>
      <c r="B3093" s="5"/>
    </row>
    <row r="3094" spans="1:2" x14ac:dyDescent="0.25">
      <c r="A3094" s="4"/>
      <c r="B3094" s="5"/>
    </row>
    <row r="3095" spans="1:2" x14ac:dyDescent="0.25">
      <c r="A3095" s="4"/>
      <c r="B3095" s="5"/>
    </row>
    <row r="3096" spans="1:2" x14ac:dyDescent="0.25">
      <c r="A3096" s="4"/>
      <c r="B3096" s="5"/>
    </row>
    <row r="3097" spans="1:2" ht="15.75" thickBot="1" x14ac:dyDescent="0.3">
      <c r="A3097" s="4"/>
      <c r="B3097" s="6"/>
    </row>
    <row r="3098" spans="1:2" ht="15.75" thickBot="1" x14ac:dyDescent="0.3">
      <c r="A3098" s="4"/>
      <c r="B3098" s="4"/>
    </row>
    <row r="3099" spans="1:2" ht="15.75" thickBot="1" x14ac:dyDescent="0.3">
      <c r="A3099" s="4"/>
      <c r="B3099" s="7" t="s">
        <v>387</v>
      </c>
    </row>
    <row r="3100" spans="1:2" x14ac:dyDescent="0.25">
      <c r="A3100" s="4"/>
      <c r="B3100" s="5" t="s">
        <v>436</v>
      </c>
    </row>
    <row r="3101" spans="1:2" x14ac:dyDescent="0.25">
      <c r="A3101" s="4"/>
      <c r="B3101" s="5" t="s">
        <v>158</v>
      </c>
    </row>
    <row r="3102" spans="1:2" x14ac:dyDescent="0.25">
      <c r="A3102" s="4"/>
      <c r="B3102" s="5" t="s">
        <v>159</v>
      </c>
    </row>
    <row r="3103" spans="1:2" x14ac:dyDescent="0.25">
      <c r="A3103" s="4"/>
      <c r="B3103" s="5" t="s">
        <v>220</v>
      </c>
    </row>
    <row r="3104" spans="1:2" x14ac:dyDescent="0.25">
      <c r="A3104" s="4"/>
      <c r="B3104" s="5" t="s">
        <v>664</v>
      </c>
    </row>
    <row r="3105" spans="1:2" x14ac:dyDescent="0.25">
      <c r="A3105" s="4"/>
      <c r="B3105" s="5" t="s">
        <v>194</v>
      </c>
    </row>
    <row r="3106" spans="1:2" x14ac:dyDescent="0.25">
      <c r="A3106" s="4"/>
      <c r="B3106" s="5"/>
    </row>
    <row r="3107" spans="1:2" x14ac:dyDescent="0.25">
      <c r="A3107" s="4"/>
      <c r="B3107" s="5"/>
    </row>
    <row r="3108" spans="1:2" x14ac:dyDescent="0.25">
      <c r="A3108" s="4"/>
      <c r="B3108" s="5"/>
    </row>
    <row r="3109" spans="1:2" ht="15.75" thickBot="1" x14ac:dyDescent="0.3">
      <c r="A3109" s="4"/>
      <c r="B3109" s="6"/>
    </row>
    <row r="3110" spans="1:2" ht="15.75" thickBot="1" x14ac:dyDescent="0.3">
      <c r="A3110" s="4"/>
      <c r="B3110" s="4"/>
    </row>
    <row r="3111" spans="1:2" ht="15.75" thickBot="1" x14ac:dyDescent="0.3">
      <c r="A3111" s="4"/>
      <c r="B3111" s="7" t="s">
        <v>388</v>
      </c>
    </row>
    <row r="3112" spans="1:2" x14ac:dyDescent="0.25">
      <c r="A3112" s="4"/>
      <c r="B3112" s="5" t="s">
        <v>157</v>
      </c>
    </row>
    <row r="3113" spans="1:2" x14ac:dyDescent="0.25">
      <c r="A3113" s="4"/>
      <c r="B3113" s="5" t="s">
        <v>158</v>
      </c>
    </row>
    <row r="3114" spans="1:2" x14ac:dyDescent="0.25">
      <c r="A3114" s="4"/>
      <c r="B3114" s="5" t="s">
        <v>159</v>
      </c>
    </row>
    <row r="3115" spans="1:2" x14ac:dyDescent="0.25">
      <c r="A3115" s="4"/>
      <c r="B3115" s="5" t="s">
        <v>220</v>
      </c>
    </row>
    <row r="3116" spans="1:2" x14ac:dyDescent="0.25">
      <c r="A3116" s="4"/>
      <c r="B3116" s="5" t="s">
        <v>664</v>
      </c>
    </row>
    <row r="3117" spans="1:2" x14ac:dyDescent="0.25">
      <c r="A3117" s="4"/>
      <c r="B3117" s="5" t="s">
        <v>164</v>
      </c>
    </row>
    <row r="3118" spans="1:2" x14ac:dyDescent="0.25">
      <c r="A3118" s="4"/>
      <c r="B3118" s="5" t="s">
        <v>194</v>
      </c>
    </row>
    <row r="3119" spans="1:2" x14ac:dyDescent="0.25">
      <c r="A3119" s="4"/>
      <c r="B3119" s="5" t="s">
        <v>437</v>
      </c>
    </row>
    <row r="3120" spans="1:2" x14ac:dyDescent="0.25">
      <c r="A3120" s="4"/>
      <c r="B3120" s="5"/>
    </row>
    <row r="3121" spans="1:2" ht="15.75" thickBot="1" x14ac:dyDescent="0.3">
      <c r="A3121" s="4"/>
      <c r="B3121" s="6"/>
    </row>
    <row r="3122" spans="1:2" ht="15.75" thickBot="1" x14ac:dyDescent="0.3">
      <c r="A3122" s="4"/>
      <c r="B3122" s="4"/>
    </row>
    <row r="3123" spans="1:2" ht="15.75" thickBot="1" x14ac:dyDescent="0.3">
      <c r="A3123" s="4"/>
      <c r="B3123" s="7" t="s">
        <v>389</v>
      </c>
    </row>
    <row r="3124" spans="1:2" x14ac:dyDescent="0.25">
      <c r="A3124" s="4"/>
      <c r="B3124" s="5" t="s">
        <v>157</v>
      </c>
    </row>
    <row r="3125" spans="1:2" x14ac:dyDescent="0.25">
      <c r="A3125" s="4"/>
      <c r="B3125" s="5" t="s">
        <v>220</v>
      </c>
    </row>
    <row r="3126" spans="1:2" x14ac:dyDescent="0.25">
      <c r="A3126" s="4"/>
      <c r="B3126" s="5" t="s">
        <v>164</v>
      </c>
    </row>
    <row r="3127" spans="1:2" x14ac:dyDescent="0.25">
      <c r="A3127" s="4"/>
      <c r="B3127" s="5" t="s">
        <v>437</v>
      </c>
    </row>
    <row r="3128" spans="1:2" x14ac:dyDescent="0.25">
      <c r="A3128" s="4"/>
      <c r="B3128" s="5"/>
    </row>
    <row r="3129" spans="1:2" x14ac:dyDescent="0.25">
      <c r="A3129" s="4"/>
      <c r="B3129" s="5"/>
    </row>
    <row r="3130" spans="1:2" x14ac:dyDescent="0.25">
      <c r="A3130" s="4"/>
      <c r="B3130" s="5"/>
    </row>
    <row r="3131" spans="1:2" x14ac:dyDescent="0.25">
      <c r="A3131" s="4"/>
      <c r="B3131" s="5"/>
    </row>
    <row r="3132" spans="1:2" x14ac:dyDescent="0.25">
      <c r="A3132" s="4"/>
      <c r="B3132" s="5"/>
    </row>
    <row r="3133" spans="1:2" ht="15.75" thickBot="1" x14ac:dyDescent="0.3">
      <c r="A3133" s="4"/>
      <c r="B3133" s="6"/>
    </row>
    <row r="3134" spans="1:2" ht="15.75" thickBot="1" x14ac:dyDescent="0.3">
      <c r="A3134" s="4"/>
      <c r="B3134" s="4"/>
    </row>
    <row r="3135" spans="1:2" ht="15.75" thickBot="1" x14ac:dyDescent="0.3">
      <c r="A3135" s="4"/>
      <c r="B3135" s="7" t="s">
        <v>390</v>
      </c>
    </row>
    <row r="3136" spans="1:2" x14ac:dyDescent="0.25">
      <c r="A3136" s="4"/>
      <c r="B3136" s="5" t="s">
        <v>157</v>
      </c>
    </row>
    <row r="3137" spans="1:2" x14ac:dyDescent="0.25">
      <c r="A3137" s="4"/>
      <c r="B3137" s="5" t="s">
        <v>158</v>
      </c>
    </row>
    <row r="3138" spans="1:2" x14ac:dyDescent="0.25">
      <c r="A3138" s="4"/>
      <c r="B3138" s="5" t="s">
        <v>159</v>
      </c>
    </row>
    <row r="3139" spans="1:2" x14ac:dyDescent="0.25">
      <c r="A3139" s="4"/>
      <c r="B3139" s="5" t="s">
        <v>220</v>
      </c>
    </row>
    <row r="3140" spans="1:2" x14ac:dyDescent="0.25">
      <c r="A3140" s="4"/>
      <c r="B3140" s="5" t="s">
        <v>664</v>
      </c>
    </row>
    <row r="3141" spans="1:2" x14ac:dyDescent="0.25">
      <c r="A3141" s="4"/>
      <c r="B3141" s="5" t="s">
        <v>164</v>
      </c>
    </row>
    <row r="3142" spans="1:2" x14ac:dyDescent="0.25">
      <c r="A3142" s="4"/>
      <c r="B3142" s="5" t="s">
        <v>194</v>
      </c>
    </row>
    <row r="3143" spans="1:2" x14ac:dyDescent="0.25">
      <c r="A3143" s="4"/>
      <c r="B3143" s="5" t="s">
        <v>437</v>
      </c>
    </row>
    <row r="3144" spans="1:2" x14ac:dyDescent="0.25">
      <c r="A3144" s="4"/>
      <c r="B3144" s="5"/>
    </row>
    <row r="3145" spans="1:2" ht="15.75" thickBot="1" x14ac:dyDescent="0.3">
      <c r="A3145" s="4"/>
      <c r="B3145" s="6"/>
    </row>
    <row r="3146" spans="1:2" ht="15.75" thickBot="1" x14ac:dyDescent="0.3">
      <c r="A3146" s="4"/>
      <c r="B3146" s="4"/>
    </row>
    <row r="3147" spans="1:2" ht="15.75" thickBot="1" x14ac:dyDescent="0.3">
      <c r="A3147" s="4"/>
      <c r="B3147" s="7" t="s">
        <v>694</v>
      </c>
    </row>
    <row r="3148" spans="1:2" x14ac:dyDescent="0.25">
      <c r="A3148" s="4"/>
      <c r="B3148" s="5" t="s">
        <v>157</v>
      </c>
    </row>
    <row r="3149" spans="1:2" x14ac:dyDescent="0.25">
      <c r="A3149" s="4"/>
      <c r="B3149" s="5" t="s">
        <v>158</v>
      </c>
    </row>
    <row r="3150" spans="1:2" x14ac:dyDescent="0.25">
      <c r="A3150" s="4"/>
      <c r="B3150" s="5" t="s">
        <v>159</v>
      </c>
    </row>
    <row r="3151" spans="1:2" x14ac:dyDescent="0.25">
      <c r="A3151" s="4"/>
      <c r="B3151" s="5" t="s">
        <v>220</v>
      </c>
    </row>
    <row r="3152" spans="1:2" x14ac:dyDescent="0.25">
      <c r="A3152" s="4"/>
      <c r="B3152" s="5" t="s">
        <v>664</v>
      </c>
    </row>
    <row r="3153" spans="1:2" x14ac:dyDescent="0.25">
      <c r="A3153" s="4"/>
      <c r="B3153" s="5" t="s">
        <v>164</v>
      </c>
    </row>
    <row r="3154" spans="1:2" x14ac:dyDescent="0.25">
      <c r="A3154" s="4"/>
      <c r="B3154" s="5" t="s">
        <v>194</v>
      </c>
    </row>
    <row r="3155" spans="1:2" x14ac:dyDescent="0.25">
      <c r="A3155" s="4"/>
      <c r="B3155" s="5" t="s">
        <v>437</v>
      </c>
    </row>
    <row r="3156" spans="1:2" x14ac:dyDescent="0.25">
      <c r="A3156" s="4"/>
      <c r="B3156" s="5"/>
    </row>
    <row r="3157" spans="1:2" ht="15.75" thickBot="1" x14ac:dyDescent="0.3">
      <c r="A3157" s="4"/>
      <c r="B3157" s="6"/>
    </row>
    <row r="3158" spans="1:2" ht="15.75" thickBot="1" x14ac:dyDescent="0.3">
      <c r="A3158" s="4"/>
      <c r="B3158" s="4"/>
    </row>
    <row r="3159" spans="1:2" ht="15.75" thickBot="1" x14ac:dyDescent="0.3">
      <c r="A3159" s="4"/>
      <c r="B3159" s="7" t="s">
        <v>675</v>
      </c>
    </row>
    <row r="3160" spans="1:2" x14ac:dyDescent="0.25">
      <c r="A3160" s="4"/>
      <c r="B3160" s="5" t="s">
        <v>437</v>
      </c>
    </row>
    <row r="3161" spans="1:2" x14ac:dyDescent="0.25">
      <c r="A3161" s="4"/>
      <c r="B3161" s="5" t="s">
        <v>157</v>
      </c>
    </row>
    <row r="3162" spans="1:2" x14ac:dyDescent="0.25">
      <c r="A3162" s="4"/>
      <c r="B3162" s="5" t="s">
        <v>158</v>
      </c>
    </row>
    <row r="3163" spans="1:2" x14ac:dyDescent="0.25">
      <c r="A3163" s="4"/>
      <c r="B3163" s="5" t="s">
        <v>159</v>
      </c>
    </row>
    <row r="3164" spans="1:2" x14ac:dyDescent="0.25">
      <c r="A3164" s="4"/>
      <c r="B3164" s="5" t="s">
        <v>220</v>
      </c>
    </row>
    <row r="3165" spans="1:2" x14ac:dyDescent="0.25">
      <c r="A3165" s="4"/>
      <c r="B3165" s="5" t="s">
        <v>664</v>
      </c>
    </row>
    <row r="3166" spans="1:2" x14ac:dyDescent="0.25">
      <c r="A3166" s="4"/>
      <c r="B3166" s="5" t="s">
        <v>164</v>
      </c>
    </row>
    <row r="3167" spans="1:2" x14ac:dyDescent="0.25">
      <c r="A3167" s="4"/>
      <c r="B3167" s="5" t="s">
        <v>194</v>
      </c>
    </row>
    <row r="3168" spans="1:2" x14ac:dyDescent="0.25">
      <c r="A3168" s="4"/>
      <c r="B3168" s="5"/>
    </row>
    <row r="3169" spans="1:2" ht="15.75" thickBot="1" x14ac:dyDescent="0.3">
      <c r="A3169" s="4"/>
      <c r="B3169" s="6"/>
    </row>
    <row r="3170" spans="1:2" ht="15.75" thickBot="1" x14ac:dyDescent="0.3">
      <c r="A3170" s="4"/>
      <c r="B3170" s="4"/>
    </row>
    <row r="3171" spans="1:2" ht="15.75" thickBot="1" x14ac:dyDescent="0.3">
      <c r="A3171" s="4"/>
      <c r="B3171" s="7" t="s">
        <v>391</v>
      </c>
    </row>
    <row r="3172" spans="1:2" x14ac:dyDescent="0.25">
      <c r="A3172" s="4"/>
      <c r="B3172" s="5" t="s">
        <v>157</v>
      </c>
    </row>
    <row r="3173" spans="1:2" x14ac:dyDescent="0.25">
      <c r="A3173" s="4"/>
      <c r="B3173" s="5" t="s">
        <v>158</v>
      </c>
    </row>
    <row r="3174" spans="1:2" x14ac:dyDescent="0.25">
      <c r="A3174" s="4"/>
      <c r="B3174" s="5" t="s">
        <v>159</v>
      </c>
    </row>
    <row r="3175" spans="1:2" x14ac:dyDescent="0.25">
      <c r="A3175" s="4"/>
      <c r="B3175" s="5" t="s">
        <v>220</v>
      </c>
    </row>
    <row r="3176" spans="1:2" x14ac:dyDescent="0.25">
      <c r="A3176" s="4"/>
      <c r="B3176" s="5" t="s">
        <v>664</v>
      </c>
    </row>
    <row r="3177" spans="1:2" x14ac:dyDescent="0.25">
      <c r="A3177" s="4"/>
      <c r="B3177" s="5" t="s">
        <v>164</v>
      </c>
    </row>
    <row r="3178" spans="1:2" x14ac:dyDescent="0.25">
      <c r="A3178" s="4"/>
      <c r="B3178" s="5" t="s">
        <v>194</v>
      </c>
    </row>
    <row r="3179" spans="1:2" x14ac:dyDescent="0.25">
      <c r="A3179" s="4"/>
      <c r="B3179" s="5" t="s">
        <v>437</v>
      </c>
    </row>
    <row r="3180" spans="1:2" x14ac:dyDescent="0.25">
      <c r="A3180" s="4"/>
      <c r="B3180" s="5"/>
    </row>
    <row r="3181" spans="1:2" ht="15.75" thickBot="1" x14ac:dyDescent="0.3">
      <c r="A3181" s="4"/>
      <c r="B3181" s="6"/>
    </row>
    <row r="3182" spans="1:2" ht="15.75" thickBot="1" x14ac:dyDescent="0.3">
      <c r="A3182" s="4"/>
      <c r="B3182" s="4"/>
    </row>
    <row r="3183" spans="1:2" ht="15.75" thickBot="1" x14ac:dyDescent="0.3">
      <c r="A3183" s="4"/>
      <c r="B3183" s="7" t="s">
        <v>392</v>
      </c>
    </row>
    <row r="3184" spans="1:2" x14ac:dyDescent="0.25">
      <c r="A3184" s="4"/>
      <c r="B3184" s="5" t="s">
        <v>157</v>
      </c>
    </row>
    <row r="3185" spans="1:2" x14ac:dyDescent="0.25">
      <c r="A3185" s="4"/>
      <c r="B3185" s="5" t="s">
        <v>220</v>
      </c>
    </row>
    <row r="3186" spans="1:2" x14ac:dyDescent="0.25">
      <c r="A3186" s="4"/>
      <c r="B3186" s="5" t="s">
        <v>664</v>
      </c>
    </row>
    <row r="3187" spans="1:2" x14ac:dyDescent="0.25">
      <c r="A3187" s="4"/>
      <c r="B3187" s="5" t="s">
        <v>164</v>
      </c>
    </row>
    <row r="3188" spans="1:2" x14ac:dyDescent="0.25">
      <c r="A3188" s="4"/>
      <c r="B3188" s="5" t="s">
        <v>194</v>
      </c>
    </row>
    <row r="3189" spans="1:2" x14ac:dyDescent="0.25">
      <c r="A3189" s="4"/>
      <c r="B3189" s="5" t="s">
        <v>437</v>
      </c>
    </row>
    <row r="3190" spans="1:2" x14ac:dyDescent="0.25">
      <c r="A3190" s="4"/>
      <c r="B3190" s="5"/>
    </row>
    <row r="3191" spans="1:2" x14ac:dyDescent="0.25">
      <c r="A3191" s="4"/>
      <c r="B3191" s="5"/>
    </row>
    <row r="3192" spans="1:2" x14ac:dyDescent="0.25">
      <c r="A3192" s="4"/>
      <c r="B3192" s="5"/>
    </row>
    <row r="3193" spans="1:2" ht="15.75" thickBot="1" x14ac:dyDescent="0.3">
      <c r="A3193" s="4"/>
      <c r="B3193" s="6"/>
    </row>
    <row r="3194" spans="1:2" ht="15.75" thickBot="1" x14ac:dyDescent="0.3">
      <c r="A3194" s="4"/>
      <c r="B3194" s="4"/>
    </row>
    <row r="3195" spans="1:2" ht="15.75" thickBot="1" x14ac:dyDescent="0.3">
      <c r="A3195" s="4"/>
      <c r="B3195" s="7" t="s">
        <v>393</v>
      </c>
    </row>
    <row r="3196" spans="1:2" x14ac:dyDescent="0.25">
      <c r="A3196" s="4"/>
      <c r="B3196" s="5" t="s">
        <v>157</v>
      </c>
    </row>
    <row r="3197" spans="1:2" x14ac:dyDescent="0.25">
      <c r="A3197" s="4"/>
      <c r="B3197" s="5" t="s">
        <v>158</v>
      </c>
    </row>
    <row r="3198" spans="1:2" x14ac:dyDescent="0.25">
      <c r="A3198" s="4"/>
      <c r="B3198" s="5" t="s">
        <v>159</v>
      </c>
    </row>
    <row r="3199" spans="1:2" x14ac:dyDescent="0.25">
      <c r="A3199" s="4"/>
      <c r="B3199" s="5" t="s">
        <v>220</v>
      </c>
    </row>
    <row r="3200" spans="1:2" x14ac:dyDescent="0.25">
      <c r="A3200" s="4"/>
      <c r="B3200" s="5" t="s">
        <v>664</v>
      </c>
    </row>
    <row r="3201" spans="1:2" x14ac:dyDescent="0.25">
      <c r="A3201" s="4"/>
      <c r="B3201" s="5" t="s">
        <v>164</v>
      </c>
    </row>
    <row r="3202" spans="1:2" x14ac:dyDescent="0.25">
      <c r="A3202" s="4"/>
      <c r="B3202" s="5" t="s">
        <v>194</v>
      </c>
    </row>
    <row r="3203" spans="1:2" x14ac:dyDescent="0.25">
      <c r="A3203" s="4"/>
      <c r="B3203" s="5" t="s">
        <v>437</v>
      </c>
    </row>
    <row r="3204" spans="1:2" x14ac:dyDescent="0.25">
      <c r="A3204" s="4"/>
      <c r="B3204" s="5"/>
    </row>
    <row r="3205" spans="1:2" ht="15.75" thickBot="1" x14ac:dyDescent="0.3">
      <c r="A3205" s="4"/>
      <c r="B3205" s="6"/>
    </row>
    <row r="3206" spans="1:2" ht="15.75" thickBot="1" x14ac:dyDescent="0.3">
      <c r="A3206" s="4"/>
      <c r="B3206" s="4"/>
    </row>
    <row r="3207" spans="1:2" ht="15.75" thickBot="1" x14ac:dyDescent="0.3">
      <c r="A3207" s="4"/>
      <c r="B3207" s="7" t="s">
        <v>394</v>
      </c>
    </row>
    <row r="3208" spans="1:2" x14ac:dyDescent="0.25">
      <c r="A3208" s="4"/>
      <c r="B3208" s="5" t="s">
        <v>163</v>
      </c>
    </row>
    <row r="3209" spans="1:2" x14ac:dyDescent="0.25">
      <c r="A3209" s="4"/>
      <c r="B3209" s="5" t="s">
        <v>194</v>
      </c>
    </row>
    <row r="3210" spans="1:2" x14ac:dyDescent="0.25">
      <c r="A3210" s="4"/>
      <c r="B3210" s="5" t="s">
        <v>664</v>
      </c>
    </row>
    <row r="3211" spans="1:2" x14ac:dyDescent="0.25">
      <c r="A3211" s="4"/>
      <c r="B3211" s="5" t="s">
        <v>437</v>
      </c>
    </row>
    <row r="3212" spans="1:2" x14ac:dyDescent="0.25">
      <c r="A3212" s="4"/>
      <c r="B3212" s="5"/>
    </row>
    <row r="3213" spans="1:2" x14ac:dyDescent="0.25">
      <c r="A3213" s="4"/>
      <c r="B3213" s="5"/>
    </row>
    <row r="3214" spans="1:2" x14ac:dyDescent="0.25">
      <c r="A3214" s="4"/>
      <c r="B3214" s="5"/>
    </row>
    <row r="3215" spans="1:2" x14ac:dyDescent="0.25">
      <c r="A3215" s="4"/>
      <c r="B3215" s="5"/>
    </row>
    <row r="3216" spans="1:2" x14ac:dyDescent="0.25">
      <c r="A3216" s="4"/>
      <c r="B3216" s="5"/>
    </row>
    <row r="3217" spans="1:2" ht="15.75" thickBot="1" x14ac:dyDescent="0.3">
      <c r="A3217" s="4"/>
      <c r="B3217" s="6"/>
    </row>
    <row r="3218" spans="1:2" ht="15.75" thickBot="1" x14ac:dyDescent="0.3">
      <c r="A3218" s="4"/>
      <c r="B3218" s="4"/>
    </row>
    <row r="3219" spans="1:2" ht="15.75" thickBot="1" x14ac:dyDescent="0.3">
      <c r="A3219" s="4"/>
      <c r="B3219" s="7" t="s">
        <v>395</v>
      </c>
    </row>
    <row r="3220" spans="1:2" x14ac:dyDescent="0.25">
      <c r="A3220" s="4"/>
      <c r="B3220" s="5" t="s">
        <v>437</v>
      </c>
    </row>
    <row r="3221" spans="1:2" x14ac:dyDescent="0.25">
      <c r="A3221" s="4"/>
      <c r="B3221" s="5" t="s">
        <v>157</v>
      </c>
    </row>
    <row r="3222" spans="1:2" x14ac:dyDescent="0.25">
      <c r="A3222" s="4"/>
      <c r="B3222" s="5" t="s">
        <v>158</v>
      </c>
    </row>
    <row r="3223" spans="1:2" x14ac:dyDescent="0.25">
      <c r="A3223" s="4"/>
      <c r="B3223" s="5" t="s">
        <v>159</v>
      </c>
    </row>
    <row r="3224" spans="1:2" x14ac:dyDescent="0.25">
      <c r="A3224" s="4"/>
      <c r="B3224" s="5" t="s">
        <v>220</v>
      </c>
    </row>
    <row r="3225" spans="1:2" x14ac:dyDescent="0.25">
      <c r="A3225" s="4"/>
      <c r="B3225" s="5" t="s">
        <v>664</v>
      </c>
    </row>
    <row r="3226" spans="1:2" x14ac:dyDescent="0.25">
      <c r="A3226" s="4"/>
      <c r="B3226" s="5" t="s">
        <v>164</v>
      </c>
    </row>
    <row r="3227" spans="1:2" x14ac:dyDescent="0.25">
      <c r="A3227" s="4"/>
      <c r="B3227" s="5" t="s">
        <v>194</v>
      </c>
    </row>
    <row r="3228" spans="1:2" x14ac:dyDescent="0.25">
      <c r="A3228" s="4"/>
      <c r="B3228" s="5"/>
    </row>
    <row r="3229" spans="1:2" ht="15.75" thickBot="1" x14ac:dyDescent="0.3">
      <c r="A3229" s="4"/>
      <c r="B3229" s="6"/>
    </row>
    <row r="3230" spans="1:2" ht="15.75" thickBot="1" x14ac:dyDescent="0.3">
      <c r="A3230" s="4"/>
      <c r="B3230" s="4"/>
    </row>
    <row r="3231" spans="1:2" ht="15.75" thickBot="1" x14ac:dyDescent="0.3">
      <c r="A3231" s="4"/>
      <c r="B3231" s="7" t="s">
        <v>396</v>
      </c>
    </row>
    <row r="3232" spans="1:2" x14ac:dyDescent="0.25">
      <c r="A3232" s="4"/>
      <c r="B3232" s="5" t="s">
        <v>664</v>
      </c>
    </row>
    <row r="3233" spans="1:2" x14ac:dyDescent="0.25">
      <c r="A3233" s="4"/>
      <c r="B3233" s="5" t="s">
        <v>163</v>
      </c>
    </row>
    <row r="3234" spans="1:2" x14ac:dyDescent="0.25">
      <c r="A3234" s="4"/>
      <c r="B3234" s="5" t="s">
        <v>194</v>
      </c>
    </row>
    <row r="3235" spans="1:2" x14ac:dyDescent="0.25">
      <c r="A3235" s="4"/>
      <c r="B3235" s="5" t="s">
        <v>437</v>
      </c>
    </row>
    <row r="3236" spans="1:2" x14ac:dyDescent="0.25">
      <c r="A3236" s="4"/>
      <c r="B3236" s="5"/>
    </row>
    <row r="3237" spans="1:2" x14ac:dyDescent="0.25">
      <c r="A3237" s="4"/>
      <c r="B3237" s="5"/>
    </row>
    <row r="3238" spans="1:2" x14ac:dyDescent="0.25">
      <c r="A3238" s="4"/>
      <c r="B3238" s="5"/>
    </row>
    <row r="3239" spans="1:2" x14ac:dyDescent="0.25">
      <c r="A3239" s="4"/>
      <c r="B3239" s="5"/>
    </row>
    <row r="3240" spans="1:2" x14ac:dyDescent="0.25">
      <c r="A3240" s="4"/>
      <c r="B3240" s="5"/>
    </row>
    <row r="3241" spans="1:2" ht="15.75" thickBot="1" x14ac:dyDescent="0.3">
      <c r="A3241" s="4"/>
      <c r="B3241" s="6"/>
    </row>
    <row r="3242" spans="1:2" ht="15.75" thickBot="1" x14ac:dyDescent="0.3">
      <c r="A3242" s="4"/>
      <c r="B3242" s="4"/>
    </row>
    <row r="3243" spans="1:2" ht="15.75" thickBot="1" x14ac:dyDescent="0.3">
      <c r="A3243" s="4"/>
      <c r="B3243" s="7" t="s">
        <v>700</v>
      </c>
    </row>
    <row r="3244" spans="1:2" x14ac:dyDescent="0.25">
      <c r="A3244" s="4"/>
      <c r="B3244" s="5" t="s">
        <v>437</v>
      </c>
    </row>
    <row r="3245" spans="1:2" x14ac:dyDescent="0.25">
      <c r="A3245" s="4"/>
      <c r="B3245" s="5"/>
    </row>
    <row r="3246" spans="1:2" x14ac:dyDescent="0.25">
      <c r="A3246" s="4"/>
      <c r="B3246" s="5"/>
    </row>
    <row r="3247" spans="1:2" x14ac:dyDescent="0.25">
      <c r="A3247" s="4"/>
      <c r="B3247" s="5"/>
    </row>
    <row r="3248" spans="1:2" x14ac:dyDescent="0.25">
      <c r="A3248" s="4"/>
      <c r="B3248" s="5"/>
    </row>
    <row r="3249" spans="1:2" x14ac:dyDescent="0.25">
      <c r="A3249" s="4"/>
      <c r="B3249" s="5"/>
    </row>
    <row r="3250" spans="1:2" x14ac:dyDescent="0.25">
      <c r="A3250" s="4"/>
      <c r="B3250" s="5"/>
    </row>
    <row r="3251" spans="1:2" x14ac:dyDescent="0.25">
      <c r="A3251" s="4"/>
      <c r="B3251" s="5"/>
    </row>
    <row r="3252" spans="1:2" x14ac:dyDescent="0.25">
      <c r="A3252" s="4"/>
      <c r="B3252" s="5"/>
    </row>
    <row r="3253" spans="1:2" ht="15.75" thickBot="1" x14ac:dyDescent="0.3">
      <c r="A3253" s="4"/>
      <c r="B3253" s="6"/>
    </row>
    <row r="3254" spans="1:2" ht="15.75" thickBot="1" x14ac:dyDescent="0.3">
      <c r="A3254" s="4"/>
      <c r="B3254" s="4"/>
    </row>
    <row r="3255" spans="1:2" ht="15.75" thickBot="1" x14ac:dyDescent="0.3">
      <c r="A3255" s="4"/>
      <c r="B3255" s="7" t="s">
        <v>397</v>
      </c>
    </row>
    <row r="3256" spans="1:2" x14ac:dyDescent="0.25">
      <c r="A3256" s="4"/>
      <c r="B3256" s="5" t="s">
        <v>220</v>
      </c>
    </row>
    <row r="3257" spans="1:2" x14ac:dyDescent="0.25">
      <c r="A3257" s="4"/>
      <c r="B3257" s="5"/>
    </row>
    <row r="3258" spans="1:2" x14ac:dyDescent="0.25">
      <c r="A3258" s="4"/>
      <c r="B3258" s="5"/>
    </row>
    <row r="3259" spans="1:2" x14ac:dyDescent="0.25">
      <c r="A3259" s="4"/>
      <c r="B3259" s="5"/>
    </row>
    <row r="3260" spans="1:2" x14ac:dyDescent="0.25">
      <c r="A3260" s="4"/>
      <c r="B3260" s="5"/>
    </row>
    <row r="3261" spans="1:2" x14ac:dyDescent="0.25">
      <c r="A3261" s="4"/>
      <c r="B3261" s="5"/>
    </row>
    <row r="3262" spans="1:2" x14ac:dyDescent="0.25">
      <c r="A3262" s="4"/>
      <c r="B3262" s="5"/>
    </row>
    <row r="3263" spans="1:2" x14ac:dyDescent="0.25">
      <c r="A3263" s="4"/>
      <c r="B3263" s="5"/>
    </row>
    <row r="3264" spans="1:2" x14ac:dyDescent="0.25">
      <c r="A3264" s="4"/>
      <c r="B3264" s="5"/>
    </row>
    <row r="3265" spans="1:2" ht="15.75" thickBot="1" x14ac:dyDescent="0.3">
      <c r="A3265" s="4"/>
      <c r="B3265" s="6"/>
    </row>
    <row r="3266" spans="1:2" ht="15.75" thickBot="1" x14ac:dyDescent="0.3">
      <c r="A3266" s="4"/>
      <c r="B3266" s="4"/>
    </row>
    <row r="3267" spans="1:2" ht="15.75" thickBot="1" x14ac:dyDescent="0.3">
      <c r="A3267" s="4"/>
      <c r="B3267" s="7" t="s">
        <v>398</v>
      </c>
    </row>
    <row r="3268" spans="1:2" x14ac:dyDescent="0.25">
      <c r="A3268" s="4"/>
      <c r="B3268" s="5" t="s">
        <v>676</v>
      </c>
    </row>
    <row r="3269" spans="1:2" x14ac:dyDescent="0.25">
      <c r="A3269" s="4"/>
      <c r="B3269" s="5" t="s">
        <v>399</v>
      </c>
    </row>
    <row r="3270" spans="1:2" x14ac:dyDescent="0.25">
      <c r="A3270" s="4"/>
      <c r="B3270" s="5" t="s">
        <v>220</v>
      </c>
    </row>
    <row r="3271" spans="1:2" x14ac:dyDescent="0.25">
      <c r="A3271" s="4"/>
      <c r="B3271" s="5" t="s">
        <v>664</v>
      </c>
    </row>
    <row r="3272" spans="1:2" x14ac:dyDescent="0.25">
      <c r="A3272" s="4"/>
      <c r="B3272" s="5"/>
    </row>
    <row r="3273" spans="1:2" x14ac:dyDescent="0.25">
      <c r="A3273" s="4"/>
      <c r="B3273" s="5"/>
    </row>
    <row r="3274" spans="1:2" x14ac:dyDescent="0.25">
      <c r="A3274" s="4"/>
      <c r="B3274" s="5"/>
    </row>
    <row r="3275" spans="1:2" x14ac:dyDescent="0.25">
      <c r="A3275" s="4"/>
      <c r="B3275" s="5"/>
    </row>
    <row r="3276" spans="1:2" x14ac:dyDescent="0.25">
      <c r="A3276" s="4"/>
      <c r="B3276" s="5"/>
    </row>
    <row r="3277" spans="1:2" ht="15.75" thickBot="1" x14ac:dyDescent="0.3">
      <c r="A3277" s="4"/>
      <c r="B3277" s="6"/>
    </row>
    <row r="3278" spans="1:2" ht="15.75" thickBot="1" x14ac:dyDescent="0.3">
      <c r="A3278" s="4"/>
      <c r="B3278" s="4"/>
    </row>
    <row r="3279" spans="1:2" ht="15.75" thickBot="1" x14ac:dyDescent="0.3">
      <c r="A3279" s="4"/>
      <c r="B3279" s="7" t="s">
        <v>400</v>
      </c>
    </row>
    <row r="3280" spans="1:2" x14ac:dyDescent="0.25">
      <c r="A3280" s="4"/>
      <c r="B3280" s="5" t="s">
        <v>676</v>
      </c>
    </row>
    <row r="3281" spans="1:2" x14ac:dyDescent="0.25">
      <c r="A3281" s="4"/>
      <c r="B3281" s="5" t="s">
        <v>399</v>
      </c>
    </row>
    <row r="3282" spans="1:2" x14ac:dyDescent="0.25">
      <c r="A3282" s="4"/>
      <c r="B3282" s="5" t="s">
        <v>677</v>
      </c>
    </row>
    <row r="3283" spans="1:2" x14ac:dyDescent="0.25">
      <c r="A3283" s="4"/>
      <c r="B3283" s="5" t="s">
        <v>639</v>
      </c>
    </row>
    <row r="3284" spans="1:2" x14ac:dyDescent="0.25">
      <c r="A3284" s="4"/>
      <c r="B3284" s="5" t="s">
        <v>220</v>
      </c>
    </row>
    <row r="3285" spans="1:2" x14ac:dyDescent="0.25">
      <c r="A3285" s="4"/>
      <c r="B3285" s="5" t="s">
        <v>664</v>
      </c>
    </row>
    <row r="3286" spans="1:2" x14ac:dyDescent="0.25">
      <c r="A3286" s="4"/>
      <c r="B3286" s="5"/>
    </row>
    <row r="3287" spans="1:2" x14ac:dyDescent="0.25">
      <c r="A3287" s="4"/>
      <c r="B3287" s="5"/>
    </row>
    <row r="3288" spans="1:2" x14ac:dyDescent="0.25">
      <c r="A3288" s="4"/>
      <c r="B3288" s="5"/>
    </row>
    <row r="3289" spans="1:2" ht="15.75" thickBot="1" x14ac:dyDescent="0.3">
      <c r="A3289" s="4"/>
      <c r="B3289" s="6"/>
    </row>
    <row r="3290" spans="1:2" ht="15.75" thickBot="1" x14ac:dyDescent="0.3">
      <c r="A3290" s="4"/>
      <c r="B3290" s="4"/>
    </row>
    <row r="3291" spans="1:2" ht="15.75" thickBot="1" x14ac:dyDescent="0.3">
      <c r="A3291" s="4"/>
      <c r="B3291" s="7" t="s">
        <v>401</v>
      </c>
    </row>
    <row r="3292" spans="1:2" x14ac:dyDescent="0.25">
      <c r="A3292" s="4"/>
      <c r="B3292" s="5" t="s">
        <v>676</v>
      </c>
    </row>
    <row r="3293" spans="1:2" x14ac:dyDescent="0.25">
      <c r="A3293" s="4"/>
      <c r="B3293" s="5" t="s">
        <v>399</v>
      </c>
    </row>
    <row r="3294" spans="1:2" x14ac:dyDescent="0.25">
      <c r="A3294" s="4"/>
      <c r="B3294" s="5" t="s">
        <v>677</v>
      </c>
    </row>
    <row r="3295" spans="1:2" x14ac:dyDescent="0.25">
      <c r="A3295" s="4"/>
      <c r="B3295" s="5" t="s">
        <v>639</v>
      </c>
    </row>
    <row r="3296" spans="1:2" x14ac:dyDescent="0.25">
      <c r="A3296" s="4"/>
      <c r="B3296" s="5" t="s">
        <v>220</v>
      </c>
    </row>
    <row r="3297" spans="1:2" x14ac:dyDescent="0.25">
      <c r="A3297" s="4"/>
      <c r="B3297" s="5" t="s">
        <v>664</v>
      </c>
    </row>
    <row r="3298" spans="1:2" x14ac:dyDescent="0.25">
      <c r="A3298" s="4"/>
      <c r="B3298" s="5"/>
    </row>
    <row r="3299" spans="1:2" x14ac:dyDescent="0.25">
      <c r="A3299" s="4"/>
      <c r="B3299" s="5"/>
    </row>
    <row r="3300" spans="1:2" x14ac:dyDescent="0.25">
      <c r="A3300" s="4"/>
      <c r="B3300" s="5"/>
    </row>
    <row r="3301" spans="1:2" ht="15.75" thickBot="1" x14ac:dyDescent="0.3">
      <c r="A3301" s="4"/>
      <c r="B3301" s="6"/>
    </row>
    <row r="3302" spans="1:2" ht="15.75" thickBot="1" x14ac:dyDescent="0.3">
      <c r="A3302" s="4"/>
      <c r="B3302" s="4"/>
    </row>
    <row r="3303" spans="1:2" ht="15.75" thickBot="1" x14ac:dyDescent="0.3">
      <c r="A3303" s="4"/>
      <c r="B3303" s="7" t="s">
        <v>402</v>
      </c>
    </row>
    <row r="3304" spans="1:2" x14ac:dyDescent="0.25">
      <c r="A3304" s="4"/>
      <c r="B3304" s="5" t="s">
        <v>220</v>
      </c>
    </row>
    <row r="3305" spans="1:2" x14ac:dyDescent="0.25">
      <c r="A3305" s="4"/>
      <c r="B3305" s="5"/>
    </row>
    <row r="3306" spans="1:2" x14ac:dyDescent="0.25">
      <c r="A3306" s="4"/>
      <c r="B3306" s="5"/>
    </row>
    <row r="3307" spans="1:2" x14ac:dyDescent="0.25">
      <c r="A3307" s="4"/>
      <c r="B3307" s="5"/>
    </row>
    <row r="3308" spans="1:2" x14ac:dyDescent="0.25">
      <c r="A3308" s="4"/>
      <c r="B3308" s="5"/>
    </row>
    <row r="3309" spans="1:2" x14ac:dyDescent="0.25">
      <c r="A3309" s="4"/>
      <c r="B3309" s="5"/>
    </row>
    <row r="3310" spans="1:2" x14ac:dyDescent="0.25">
      <c r="A3310" s="4"/>
      <c r="B3310" s="5"/>
    </row>
    <row r="3311" spans="1:2" x14ac:dyDescent="0.25">
      <c r="A3311" s="4"/>
      <c r="B3311" s="5"/>
    </row>
    <row r="3312" spans="1:2" x14ac:dyDescent="0.25">
      <c r="A3312" s="4"/>
      <c r="B3312" s="5"/>
    </row>
    <row r="3313" spans="1:2" ht="15.75" thickBot="1" x14ac:dyDescent="0.3">
      <c r="A3313" s="4"/>
      <c r="B3313" s="6"/>
    </row>
    <row r="3314" spans="1:2" ht="15.75" thickBot="1" x14ac:dyDescent="0.3">
      <c r="A3314" s="4"/>
      <c r="B3314" s="4"/>
    </row>
    <row r="3315" spans="1:2" ht="15.75" thickBot="1" x14ac:dyDescent="0.3">
      <c r="A3315" s="4"/>
      <c r="B3315" s="7" t="s">
        <v>403</v>
      </c>
    </row>
    <row r="3316" spans="1:2" x14ac:dyDescent="0.25">
      <c r="A3316" s="4"/>
      <c r="B3316" s="5" t="s">
        <v>676</v>
      </c>
    </row>
    <row r="3317" spans="1:2" x14ac:dyDescent="0.25">
      <c r="A3317" s="4"/>
      <c r="B3317" s="5" t="s">
        <v>399</v>
      </c>
    </row>
    <row r="3318" spans="1:2" x14ac:dyDescent="0.25">
      <c r="A3318" s="4"/>
      <c r="B3318" s="5" t="s">
        <v>677</v>
      </c>
    </row>
    <row r="3319" spans="1:2" x14ac:dyDescent="0.25">
      <c r="A3319" s="4"/>
      <c r="B3319" s="5" t="s">
        <v>639</v>
      </c>
    </row>
    <row r="3320" spans="1:2" x14ac:dyDescent="0.25">
      <c r="A3320" s="4"/>
      <c r="B3320" s="5" t="s">
        <v>220</v>
      </c>
    </row>
    <row r="3321" spans="1:2" x14ac:dyDescent="0.25">
      <c r="A3321" s="4"/>
      <c r="B3321" s="5" t="s">
        <v>664</v>
      </c>
    </row>
    <row r="3322" spans="1:2" x14ac:dyDescent="0.25">
      <c r="A3322" s="4"/>
      <c r="B3322" s="5"/>
    </row>
    <row r="3323" spans="1:2" x14ac:dyDescent="0.25">
      <c r="A3323" s="4"/>
      <c r="B3323" s="5"/>
    </row>
    <row r="3324" spans="1:2" x14ac:dyDescent="0.25">
      <c r="A3324" s="4"/>
      <c r="B3324" s="5"/>
    </row>
    <row r="3325" spans="1:2" ht="15.75" thickBot="1" x14ac:dyDescent="0.3">
      <c r="A3325" s="4"/>
      <c r="B3325" s="6"/>
    </row>
    <row r="3326" spans="1:2" ht="15.75" thickBot="1" x14ac:dyDescent="0.3">
      <c r="A3326" s="4"/>
      <c r="B3326" s="4"/>
    </row>
    <row r="3327" spans="1:2" ht="15.75" thickBot="1" x14ac:dyDescent="0.3">
      <c r="A3327" s="4"/>
      <c r="B3327" s="7" t="s">
        <v>404</v>
      </c>
    </row>
    <row r="3328" spans="1:2" x14ac:dyDescent="0.25">
      <c r="A3328" s="4"/>
      <c r="B3328" s="5" t="s">
        <v>676</v>
      </c>
    </row>
    <row r="3329" spans="1:2" x14ac:dyDescent="0.25">
      <c r="A3329" s="4"/>
      <c r="B3329" s="5" t="s">
        <v>653</v>
      </c>
    </row>
    <row r="3330" spans="1:2" x14ac:dyDescent="0.25">
      <c r="A3330" s="4"/>
      <c r="B3330" s="5" t="s">
        <v>677</v>
      </c>
    </row>
    <row r="3331" spans="1:2" x14ac:dyDescent="0.25">
      <c r="A3331" s="4"/>
      <c r="B3331" s="5" t="s">
        <v>639</v>
      </c>
    </row>
    <row r="3332" spans="1:2" x14ac:dyDescent="0.25">
      <c r="A3332" s="4"/>
      <c r="B3332" s="5" t="s">
        <v>220</v>
      </c>
    </row>
    <row r="3333" spans="1:2" x14ac:dyDescent="0.25">
      <c r="A3333" s="4"/>
      <c r="B3333" s="5" t="s">
        <v>407</v>
      </c>
    </row>
    <row r="3334" spans="1:2" x14ac:dyDescent="0.25">
      <c r="A3334" s="4"/>
      <c r="B3334" s="5" t="s">
        <v>664</v>
      </c>
    </row>
    <row r="3335" spans="1:2" x14ac:dyDescent="0.25">
      <c r="A3335" s="4"/>
      <c r="B3335" s="5" t="s">
        <v>164</v>
      </c>
    </row>
    <row r="3336" spans="1:2" x14ac:dyDescent="0.25">
      <c r="A3336" s="4"/>
      <c r="B3336" s="5" t="s">
        <v>399</v>
      </c>
    </row>
    <row r="3337" spans="1:2" ht="15.75" thickBot="1" x14ac:dyDescent="0.3">
      <c r="A3337" s="4"/>
      <c r="B3337" s="6" t="s">
        <v>406</v>
      </c>
    </row>
    <row r="3338" spans="1:2" ht="15.75" thickBot="1" x14ac:dyDescent="0.3">
      <c r="A3338" s="4"/>
      <c r="B3338" s="4" t="s">
        <v>405</v>
      </c>
    </row>
    <row r="3339" spans="1:2" ht="15.75" thickBot="1" x14ac:dyDescent="0.3">
      <c r="A3339" s="4"/>
      <c r="B3339" s="7" t="s">
        <v>408</v>
      </c>
    </row>
    <row r="3340" spans="1:2" x14ac:dyDescent="0.25">
      <c r="A3340" s="4"/>
      <c r="B3340" s="5" t="s">
        <v>676</v>
      </c>
    </row>
    <row r="3341" spans="1:2" x14ac:dyDescent="0.25">
      <c r="A3341" s="4"/>
      <c r="B3341" s="5" t="s">
        <v>399</v>
      </c>
    </row>
    <row r="3342" spans="1:2" x14ac:dyDescent="0.25">
      <c r="A3342" s="4"/>
      <c r="B3342" s="5" t="s">
        <v>677</v>
      </c>
    </row>
    <row r="3343" spans="1:2" x14ac:dyDescent="0.25">
      <c r="A3343" s="4"/>
      <c r="B3343" s="5" t="s">
        <v>639</v>
      </c>
    </row>
    <row r="3344" spans="1:2" x14ac:dyDescent="0.25">
      <c r="A3344" s="4"/>
      <c r="B3344" s="5" t="s">
        <v>220</v>
      </c>
    </row>
    <row r="3345" spans="1:2" x14ac:dyDescent="0.25">
      <c r="A3345" s="4"/>
      <c r="B3345" s="5" t="s">
        <v>664</v>
      </c>
    </row>
    <row r="3346" spans="1:2" x14ac:dyDescent="0.25">
      <c r="A3346" s="4"/>
      <c r="B3346" s="5"/>
    </row>
    <row r="3347" spans="1:2" x14ac:dyDescent="0.25">
      <c r="A3347" s="4"/>
      <c r="B3347" s="5"/>
    </row>
    <row r="3348" spans="1:2" x14ac:dyDescent="0.25">
      <c r="A3348" s="4"/>
      <c r="B3348" s="5"/>
    </row>
    <row r="3349" spans="1:2" ht="15.75" thickBot="1" x14ac:dyDescent="0.3">
      <c r="A3349" s="4"/>
      <c r="B3349" s="6"/>
    </row>
    <row r="3350" spans="1:2" ht="15.75" thickBot="1" x14ac:dyDescent="0.3">
      <c r="A3350" s="4"/>
      <c r="B3350" s="4"/>
    </row>
    <row r="3351" spans="1:2" ht="15.75" thickBot="1" x14ac:dyDescent="0.3">
      <c r="A3351" s="4"/>
      <c r="B3351" s="7" t="s">
        <v>216</v>
      </c>
    </row>
    <row r="3352" spans="1:2" x14ac:dyDescent="0.25">
      <c r="A3352" s="4"/>
      <c r="B3352" s="5" t="s">
        <v>704</v>
      </c>
    </row>
    <row r="3353" spans="1:2" x14ac:dyDescent="0.25">
      <c r="A3353" s="4"/>
      <c r="B3353" s="5" t="s">
        <v>158</v>
      </c>
    </row>
    <row r="3354" spans="1:2" x14ac:dyDescent="0.25">
      <c r="A3354" s="4"/>
      <c r="B3354" s="5" t="s">
        <v>159</v>
      </c>
    </row>
    <row r="3355" spans="1:2" x14ac:dyDescent="0.25">
      <c r="A3355" s="4"/>
      <c r="B3355" s="5" t="s">
        <v>220</v>
      </c>
    </row>
    <row r="3356" spans="1:2" x14ac:dyDescent="0.25">
      <c r="A3356" s="4"/>
      <c r="B3356" s="5"/>
    </row>
    <row r="3357" spans="1:2" x14ac:dyDescent="0.25">
      <c r="B3357" s="5"/>
    </row>
    <row r="3358" spans="1:2" x14ac:dyDescent="0.25">
      <c r="B3358" s="5"/>
    </row>
    <row r="3359" spans="1:2" x14ac:dyDescent="0.25">
      <c r="B3359" s="5"/>
    </row>
    <row r="3360" spans="1:2" x14ac:dyDescent="0.25">
      <c r="B3360" s="5"/>
    </row>
    <row r="3361" spans="2:2" ht="15.75" thickBot="1" x14ac:dyDescent="0.3">
      <c r="B3361" s="6"/>
    </row>
    <row r="3362" spans="2:2" ht="15.75" thickBot="1" x14ac:dyDescent="0.3"/>
    <row r="3363" spans="2:2" ht="15.75" thickBot="1" x14ac:dyDescent="0.3">
      <c r="B3363" s="7" t="s">
        <v>678</v>
      </c>
    </row>
    <row r="3364" spans="2:2" x14ac:dyDescent="0.25">
      <c r="B3364" s="5" t="s">
        <v>220</v>
      </c>
    </row>
    <row r="3365" spans="2:2" x14ac:dyDescent="0.25">
      <c r="B3365" s="5" t="s">
        <v>154</v>
      </c>
    </row>
    <row r="3366" spans="2:2" x14ac:dyDescent="0.25">
      <c r="B3366" s="5" t="s">
        <v>194</v>
      </c>
    </row>
    <row r="3367" spans="2:2" x14ac:dyDescent="0.25">
      <c r="B3367" s="5" t="s">
        <v>417</v>
      </c>
    </row>
    <row r="3368" spans="2:2" x14ac:dyDescent="0.25">
      <c r="B3368" s="5"/>
    </row>
    <row r="3369" spans="2:2" x14ac:dyDescent="0.25">
      <c r="B3369" s="5"/>
    </row>
    <row r="3370" spans="2:2" x14ac:dyDescent="0.25">
      <c r="B3370" s="5"/>
    </row>
    <row r="3371" spans="2:2" x14ac:dyDescent="0.25">
      <c r="B3371" s="5"/>
    </row>
    <row r="3372" spans="2:2" x14ac:dyDescent="0.25">
      <c r="B3372" s="5"/>
    </row>
    <row r="3373" spans="2:2" ht="15.75" thickBot="1" x14ac:dyDescent="0.3">
      <c r="B3373" s="6"/>
    </row>
    <row r="3374" spans="2:2" ht="15.75" thickBot="1" x14ac:dyDescent="0.3"/>
    <row r="3375" spans="2:2" ht="15.75" thickBot="1" x14ac:dyDescent="0.3">
      <c r="B3375" s="7" t="s">
        <v>217</v>
      </c>
    </row>
    <row r="3376" spans="2:2" x14ac:dyDescent="0.25">
      <c r="B3376" s="5" t="s">
        <v>417</v>
      </c>
    </row>
    <row r="3377" spans="2:2" x14ac:dyDescent="0.25">
      <c r="B3377" s="5" t="s">
        <v>158</v>
      </c>
    </row>
    <row r="3378" spans="2:2" x14ac:dyDescent="0.25">
      <c r="B3378" s="5" t="s">
        <v>159</v>
      </c>
    </row>
    <row r="3379" spans="2:2" x14ac:dyDescent="0.25">
      <c r="B3379" s="5" t="s">
        <v>220</v>
      </c>
    </row>
    <row r="3380" spans="2:2" x14ac:dyDescent="0.25">
      <c r="B3380" s="5" t="s">
        <v>194</v>
      </c>
    </row>
    <row r="3381" spans="2:2" x14ac:dyDescent="0.25">
      <c r="B3381" s="5"/>
    </row>
    <row r="3382" spans="2:2" x14ac:dyDescent="0.25">
      <c r="B3382" s="5"/>
    </row>
    <row r="3383" spans="2:2" x14ac:dyDescent="0.25">
      <c r="B3383" s="5"/>
    </row>
    <row r="3384" spans="2:2" x14ac:dyDescent="0.25">
      <c r="B3384" s="5"/>
    </row>
    <row r="3385" spans="2:2" ht="15.75" thickBot="1" x14ac:dyDescent="0.3">
      <c r="B3385" s="6"/>
    </row>
    <row r="3386" spans="2:2" ht="15.75" thickBot="1" x14ac:dyDescent="0.3"/>
    <row r="3387" spans="2:2" ht="15.75" thickBot="1" x14ac:dyDescent="0.3">
      <c r="B3387" s="7" t="s">
        <v>218</v>
      </c>
    </row>
    <row r="3388" spans="2:2" x14ac:dyDescent="0.25">
      <c r="B3388" s="5" t="s">
        <v>417</v>
      </c>
    </row>
    <row r="3389" spans="2:2" x14ac:dyDescent="0.25">
      <c r="B3389" s="5" t="s">
        <v>158</v>
      </c>
    </row>
    <row r="3390" spans="2:2" x14ac:dyDescent="0.25">
      <c r="B3390" s="5" t="s">
        <v>159</v>
      </c>
    </row>
    <row r="3391" spans="2:2" x14ac:dyDescent="0.25">
      <c r="B3391" s="5" t="s">
        <v>220</v>
      </c>
    </row>
    <row r="3392" spans="2:2" x14ac:dyDescent="0.25">
      <c r="B3392" s="5" t="s">
        <v>194</v>
      </c>
    </row>
    <row r="3393" spans="2:2" x14ac:dyDescent="0.25">
      <c r="B3393" s="5"/>
    </row>
    <row r="3394" spans="2:2" x14ac:dyDescent="0.25">
      <c r="B3394" s="5"/>
    </row>
    <row r="3395" spans="2:2" x14ac:dyDescent="0.25">
      <c r="B3395" s="5"/>
    </row>
    <row r="3396" spans="2:2" x14ac:dyDescent="0.25">
      <c r="B3396" s="5"/>
    </row>
    <row r="3397" spans="2:2" ht="15.75" thickBot="1" x14ac:dyDescent="0.3">
      <c r="B3397" s="6"/>
    </row>
    <row r="3398" spans="2:2" ht="15.75" thickBot="1" x14ac:dyDescent="0.3"/>
    <row r="3399" spans="2:2" ht="15.75" thickBot="1" x14ac:dyDescent="0.3">
      <c r="B3399" s="7" t="s">
        <v>713</v>
      </c>
    </row>
    <row r="3400" spans="2:2" x14ac:dyDescent="0.25">
      <c r="B3400" s="5" t="s">
        <v>158</v>
      </c>
    </row>
    <row r="3401" spans="2:2" x14ac:dyDescent="0.25">
      <c r="B3401" s="5" t="s">
        <v>159</v>
      </c>
    </row>
    <row r="3402" spans="2:2" x14ac:dyDescent="0.25">
      <c r="B3402" s="5" t="s">
        <v>153</v>
      </c>
    </row>
    <row r="3403" spans="2:2" x14ac:dyDescent="0.25">
      <c r="B3403" s="5" t="s">
        <v>154</v>
      </c>
    </row>
    <row r="3404" spans="2:2" x14ac:dyDescent="0.25">
      <c r="B3404" s="5" t="s">
        <v>194</v>
      </c>
    </row>
    <row r="3405" spans="2:2" x14ac:dyDescent="0.25">
      <c r="B3405" s="5" t="s">
        <v>220</v>
      </c>
    </row>
    <row r="3406" spans="2:2" x14ac:dyDescent="0.25">
      <c r="B3406" s="5"/>
    </row>
    <row r="3407" spans="2:2" x14ac:dyDescent="0.25">
      <c r="B3407" s="5"/>
    </row>
    <row r="3408" spans="2:2" x14ac:dyDescent="0.25">
      <c r="B3408" s="5"/>
    </row>
    <row r="3409" spans="2:2" ht="15.75" thickBot="1" x14ac:dyDescent="0.3">
      <c r="B3409" s="6"/>
    </row>
    <row r="3410" spans="2:2" ht="15.75" thickBot="1" x14ac:dyDescent="0.3"/>
    <row r="3411" spans="2:2" ht="15.75" thickBot="1" x14ac:dyDescent="0.3">
      <c r="B3411" s="7" t="s">
        <v>711</v>
      </c>
    </row>
    <row r="3412" spans="2:2" x14ac:dyDescent="0.25">
      <c r="B3412" s="5" t="s">
        <v>158</v>
      </c>
    </row>
    <row r="3413" spans="2:2" x14ac:dyDescent="0.25">
      <c r="B3413" s="5" t="s">
        <v>159</v>
      </c>
    </row>
    <row r="3414" spans="2:2" x14ac:dyDescent="0.25">
      <c r="B3414" s="5" t="s">
        <v>153</v>
      </c>
    </row>
    <row r="3415" spans="2:2" x14ac:dyDescent="0.25">
      <c r="B3415" s="5" t="s">
        <v>154</v>
      </c>
    </row>
    <row r="3416" spans="2:2" x14ac:dyDescent="0.25">
      <c r="B3416" s="5" t="s">
        <v>194</v>
      </c>
    </row>
    <row r="3417" spans="2:2" x14ac:dyDescent="0.25">
      <c r="B3417" s="5" t="s">
        <v>220</v>
      </c>
    </row>
    <row r="3418" spans="2:2" x14ac:dyDescent="0.25">
      <c r="B3418" s="5"/>
    </row>
    <row r="3419" spans="2:2" x14ac:dyDescent="0.25">
      <c r="B3419" s="5"/>
    </row>
    <row r="3420" spans="2:2" x14ac:dyDescent="0.25">
      <c r="B3420" s="5"/>
    </row>
    <row r="3421" spans="2:2" ht="15.75" thickBot="1" x14ac:dyDescent="0.3">
      <c r="B3421" s="6"/>
    </row>
    <row r="3422" spans="2:2" ht="15.75" thickBot="1" x14ac:dyDescent="0.3"/>
    <row r="3423" spans="2:2" ht="15.75" thickBot="1" x14ac:dyDescent="0.3">
      <c r="B3423" s="7" t="s">
        <v>710</v>
      </c>
    </row>
    <row r="3424" spans="2:2" x14ac:dyDescent="0.25">
      <c r="B3424" s="5" t="s">
        <v>158</v>
      </c>
    </row>
    <row r="3425" spans="2:2" x14ac:dyDescent="0.25">
      <c r="B3425" s="5" t="s">
        <v>159</v>
      </c>
    </row>
    <row r="3426" spans="2:2" x14ac:dyDescent="0.25">
      <c r="B3426" s="5" t="s">
        <v>153</v>
      </c>
    </row>
    <row r="3427" spans="2:2" x14ac:dyDescent="0.25">
      <c r="B3427" s="5" t="s">
        <v>154</v>
      </c>
    </row>
    <row r="3428" spans="2:2" x14ac:dyDescent="0.25">
      <c r="B3428" s="5" t="s">
        <v>194</v>
      </c>
    </row>
    <row r="3429" spans="2:2" x14ac:dyDescent="0.25">
      <c r="B3429" s="5" t="s">
        <v>220</v>
      </c>
    </row>
    <row r="3430" spans="2:2" x14ac:dyDescent="0.25">
      <c r="B3430" s="5"/>
    </row>
    <row r="3431" spans="2:2" x14ac:dyDescent="0.25">
      <c r="B3431" s="5"/>
    </row>
    <row r="3432" spans="2:2" x14ac:dyDescent="0.25">
      <c r="B3432" s="5"/>
    </row>
    <row r="3433" spans="2:2" ht="15.75" thickBot="1" x14ac:dyDescent="0.3">
      <c r="B3433" s="6"/>
    </row>
    <row r="3434" spans="2:2" ht="15.75" thickBot="1" x14ac:dyDescent="0.3"/>
    <row r="3435" spans="2:2" ht="15.75" thickBot="1" x14ac:dyDescent="0.3">
      <c r="B3435" s="7" t="s">
        <v>712</v>
      </c>
    </row>
    <row r="3436" spans="2:2" x14ac:dyDescent="0.25">
      <c r="B3436" s="5" t="s">
        <v>158</v>
      </c>
    </row>
    <row r="3437" spans="2:2" x14ac:dyDescent="0.25">
      <c r="B3437" s="5" t="s">
        <v>159</v>
      </c>
    </row>
    <row r="3438" spans="2:2" x14ac:dyDescent="0.25">
      <c r="B3438" s="5" t="s">
        <v>153</v>
      </c>
    </row>
    <row r="3439" spans="2:2" x14ac:dyDescent="0.25">
      <c r="B3439" s="5" t="s">
        <v>154</v>
      </c>
    </row>
    <row r="3440" spans="2:2" x14ac:dyDescent="0.25">
      <c r="B3440" s="5" t="s">
        <v>194</v>
      </c>
    </row>
    <row r="3441" spans="2:2" x14ac:dyDescent="0.25">
      <c r="B3441" s="5" t="s">
        <v>220</v>
      </c>
    </row>
    <row r="3442" spans="2:2" x14ac:dyDescent="0.25">
      <c r="B3442" s="5"/>
    </row>
    <row r="3443" spans="2:2" x14ac:dyDescent="0.25">
      <c r="B3443" s="5"/>
    </row>
    <row r="3444" spans="2:2" x14ac:dyDescent="0.25">
      <c r="B3444" s="5"/>
    </row>
    <row r="3445" spans="2:2" ht="15.75" thickBot="1" x14ac:dyDescent="0.3">
      <c r="B3445" s="6"/>
    </row>
    <row r="3446" spans="2:2" ht="15.75" thickBot="1" x14ac:dyDescent="0.3"/>
    <row r="3447" spans="2:2" ht="15.75" thickBot="1" x14ac:dyDescent="0.3">
      <c r="B3447" s="7" t="s">
        <v>714</v>
      </c>
    </row>
    <row r="3448" spans="2:2" x14ac:dyDescent="0.25">
      <c r="B3448" s="5" t="s">
        <v>153</v>
      </c>
    </row>
    <row r="3449" spans="2:2" x14ac:dyDescent="0.25">
      <c r="B3449" s="5" t="s">
        <v>154</v>
      </c>
    </row>
    <row r="3450" spans="2:2" x14ac:dyDescent="0.25">
      <c r="B3450" s="5" t="s">
        <v>194</v>
      </c>
    </row>
    <row r="3451" spans="2:2" x14ac:dyDescent="0.25">
      <c r="B3451" s="5" t="s">
        <v>220</v>
      </c>
    </row>
    <row r="3452" spans="2:2" x14ac:dyDescent="0.25">
      <c r="B3452" s="5"/>
    </row>
    <row r="3453" spans="2:2" x14ac:dyDescent="0.25">
      <c r="B3453" s="5"/>
    </row>
    <row r="3454" spans="2:2" x14ac:dyDescent="0.25">
      <c r="B3454" s="5"/>
    </row>
    <row r="3455" spans="2:2" x14ac:dyDescent="0.25">
      <c r="B3455" s="5"/>
    </row>
    <row r="3456" spans="2:2" x14ac:dyDescent="0.25">
      <c r="B3456" s="5"/>
    </row>
    <row r="3457" spans="2:2" ht="15.75" thickBot="1" x14ac:dyDescent="0.3">
      <c r="B3457" s="6"/>
    </row>
    <row r="3459" spans="2:2" x14ac:dyDescent="0.25">
      <c r="B3459" t="s">
        <v>568</v>
      </c>
    </row>
  </sheetData>
  <autoFilter ref="A2:F337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51"/>
  <sheetViews>
    <sheetView topLeftCell="A13" workbookViewId="0">
      <selection activeCell="B31" sqref="B31"/>
    </sheetView>
  </sheetViews>
  <sheetFormatPr defaultRowHeight="15" x14ac:dyDescent="0.25"/>
  <cols>
    <col min="1" max="1" width="21.5703125" style="11" bestFit="1" customWidth="1"/>
    <col min="2" max="2" width="15.5703125" style="11" bestFit="1" customWidth="1"/>
    <col min="3" max="3" width="35.7109375" style="11" bestFit="1" customWidth="1"/>
    <col min="4" max="4" width="9.140625" style="11"/>
    <col min="5" max="7" width="9.140625" style="56"/>
    <col min="8" max="16384" width="9.140625" style="11"/>
  </cols>
  <sheetData>
    <row r="1" spans="1:7" x14ac:dyDescent="0.25">
      <c r="A1" s="60" t="s">
        <v>644</v>
      </c>
      <c r="B1" s="60" t="s">
        <v>577</v>
      </c>
      <c r="C1" s="61" t="s">
        <v>578</v>
      </c>
      <c r="G1" s="64" t="s">
        <v>608</v>
      </c>
    </row>
    <row r="2" spans="1:7" x14ac:dyDescent="0.25">
      <c r="A2" s="59" t="s">
        <v>579</v>
      </c>
      <c r="B2" s="59" t="s">
        <v>580</v>
      </c>
      <c r="C2" s="59" t="s">
        <v>581</v>
      </c>
      <c r="E2" s="56">
        <f>IF(A2="","",MAX(E$1:E1)+1)</f>
        <v>1</v>
      </c>
      <c r="G2" s="56" t="str">
        <f t="shared" ref="G2:G33" si="0">IFERROR(INDEX($A$2:$A$201,MATCH(ROW()-ROW($G$1),$E$2:$E$201,0)),"")</f>
        <v>Alyssa Andon</v>
      </c>
    </row>
    <row r="3" spans="1:7" x14ac:dyDescent="0.25">
      <c r="A3" s="59" t="s">
        <v>654</v>
      </c>
      <c r="B3" s="59" t="s">
        <v>655</v>
      </c>
      <c r="C3" s="59" t="s">
        <v>656</v>
      </c>
      <c r="E3" s="56">
        <f>IF(A3="","",MAX(E$1:E2)+1)</f>
        <v>2</v>
      </c>
      <c r="G3" s="56" t="str">
        <f t="shared" si="0"/>
        <v>Benedetta Cosco</v>
      </c>
    </row>
    <row r="4" spans="1:7" x14ac:dyDescent="0.25">
      <c r="A4" s="59" t="s">
        <v>582</v>
      </c>
      <c r="B4" s="59" t="s">
        <v>583</v>
      </c>
      <c r="C4" s="59" t="s">
        <v>584</v>
      </c>
      <c r="E4" s="56">
        <f>IF(A4="","",MAX(E$1:E3)+1)</f>
        <v>3</v>
      </c>
      <c r="G4" s="56" t="str">
        <f t="shared" si="0"/>
        <v>Christopher Rose</v>
      </c>
    </row>
    <row r="5" spans="1:7" x14ac:dyDescent="0.25">
      <c r="A5" s="59" t="s">
        <v>623</v>
      </c>
      <c r="B5" s="59" t="s">
        <v>624</v>
      </c>
      <c r="C5" s="59" t="s">
        <v>631</v>
      </c>
      <c r="E5" s="56">
        <f>IF(A5="","",MAX(E$1:E4)+1)</f>
        <v>4</v>
      </c>
      <c r="G5" s="56" t="str">
        <f t="shared" si="0"/>
        <v>Cristina Snaidero</v>
      </c>
    </row>
    <row r="6" spans="1:7" x14ac:dyDescent="0.25">
      <c r="A6" s="59" t="s">
        <v>585</v>
      </c>
      <c r="B6" s="59" t="s">
        <v>586</v>
      </c>
      <c r="C6" s="59" t="s">
        <v>587</v>
      </c>
      <c r="E6" s="56">
        <f>IF(A6="","",MAX(E$1:E5)+1)</f>
        <v>5</v>
      </c>
      <c r="G6" s="56" t="str">
        <f t="shared" si="0"/>
        <v>Damien Gonsalves</v>
      </c>
    </row>
    <row r="7" spans="1:7" x14ac:dyDescent="0.25">
      <c r="A7" s="59" t="s">
        <v>588</v>
      </c>
      <c r="B7" s="59" t="s">
        <v>589</v>
      </c>
      <c r="C7" s="59" t="s">
        <v>629</v>
      </c>
      <c r="E7" s="56">
        <f>IF(A7="","",MAX(E$1:E6)+1)</f>
        <v>6</v>
      </c>
      <c r="G7" s="56" t="str">
        <f t="shared" si="0"/>
        <v>Erin Casavant</v>
      </c>
    </row>
    <row r="8" spans="1:7" x14ac:dyDescent="0.25">
      <c r="A8" s="59" t="s">
        <v>617</v>
      </c>
      <c r="B8" s="59" t="s">
        <v>618</v>
      </c>
      <c r="C8" s="59" t="s">
        <v>627</v>
      </c>
      <c r="E8" s="56">
        <f>IF(A8="","",MAX(E$1:E7)+1)</f>
        <v>7</v>
      </c>
      <c r="G8" s="56" t="str">
        <f t="shared" si="0"/>
        <v>Jessica Bolam</v>
      </c>
    </row>
    <row r="9" spans="1:7" x14ac:dyDescent="0.25">
      <c r="A9" s="59" t="s">
        <v>590</v>
      </c>
      <c r="B9" s="59" t="s">
        <v>591</v>
      </c>
      <c r="C9" s="59" t="s">
        <v>592</v>
      </c>
      <c r="E9" s="56">
        <f>IF(A9="","",MAX(E$1:E8)+1)</f>
        <v>8</v>
      </c>
      <c r="G9" s="56" t="str">
        <f t="shared" si="0"/>
        <v>Jennifer Hatem</v>
      </c>
    </row>
    <row r="10" spans="1:7" x14ac:dyDescent="0.25">
      <c r="A10" s="59" t="s">
        <v>705</v>
      </c>
      <c r="B10" s="59" t="s">
        <v>706</v>
      </c>
      <c r="C10" s="59" t="s">
        <v>707</v>
      </c>
      <c r="E10" s="56">
        <f>IF(A10="","",MAX(E$1:E9)+1)</f>
        <v>9</v>
      </c>
      <c r="G10" s="56" t="str">
        <f t="shared" si="0"/>
        <v>Jia Zhang</v>
      </c>
    </row>
    <row r="11" spans="1:7" x14ac:dyDescent="0.25">
      <c r="A11" s="59" t="s">
        <v>625</v>
      </c>
      <c r="B11" s="59" t="s">
        <v>626</v>
      </c>
      <c r="C11" s="59" t="s">
        <v>632</v>
      </c>
      <c r="E11" s="56">
        <f>IF(A11="","",MAX(E$1:E10)+1)</f>
        <v>10</v>
      </c>
      <c r="G11" s="56" t="str">
        <f t="shared" si="0"/>
        <v>Kelvin Tang</v>
      </c>
    </row>
    <row r="12" spans="1:7" x14ac:dyDescent="0.25">
      <c r="A12" s="59" t="s">
        <v>593</v>
      </c>
      <c r="B12" s="59" t="s">
        <v>594</v>
      </c>
      <c r="C12" s="59" t="s">
        <v>595</v>
      </c>
      <c r="E12" s="56">
        <f>IF(A12="","",MAX(E$1:E11)+1)</f>
        <v>11</v>
      </c>
      <c r="G12" s="56" t="str">
        <f t="shared" si="0"/>
        <v>Kristine Western</v>
      </c>
    </row>
    <row r="13" spans="1:7" x14ac:dyDescent="0.25">
      <c r="A13" s="59" t="s">
        <v>619</v>
      </c>
      <c r="B13" s="59" t="s">
        <v>620</v>
      </c>
      <c r="C13" s="59" t="s">
        <v>628</v>
      </c>
      <c r="E13" s="56">
        <f>IF(A13="","",MAX(E$1:E12)+1)</f>
        <v>12</v>
      </c>
      <c r="G13" s="56" t="str">
        <f t="shared" si="0"/>
        <v>Laura Carman</v>
      </c>
    </row>
    <row r="14" spans="1:7" x14ac:dyDescent="0.25">
      <c r="A14" s="59" t="s">
        <v>657</v>
      </c>
      <c r="B14" s="59" t="s">
        <v>658</v>
      </c>
      <c r="C14" s="59" t="s">
        <v>659</v>
      </c>
      <c r="E14" s="56">
        <f>IF(A14="","",MAX(E$1:E13)+1)</f>
        <v>13</v>
      </c>
      <c r="G14" s="56" t="str">
        <f t="shared" si="0"/>
        <v>Miguel Medina</v>
      </c>
    </row>
    <row r="15" spans="1:7" x14ac:dyDescent="0.25">
      <c r="A15" s="59" t="s">
        <v>596</v>
      </c>
      <c r="B15" s="59" t="s">
        <v>597</v>
      </c>
      <c r="C15" s="59" t="s">
        <v>598</v>
      </c>
      <c r="E15" s="56">
        <f>IF(A15="","",MAX(E$1:E14)+1)</f>
        <v>14</v>
      </c>
      <c r="G15" s="56" t="str">
        <f t="shared" si="0"/>
        <v>Mark Wright</v>
      </c>
    </row>
    <row r="16" spans="1:7" x14ac:dyDescent="0.25">
      <c r="A16" s="59" t="s">
        <v>599</v>
      </c>
      <c r="B16" s="59" t="s">
        <v>600</v>
      </c>
      <c r="C16" s="59" t="s">
        <v>601</v>
      </c>
      <c r="E16" s="56">
        <f>IF(A16="","",MAX(E$1:E15)+1)</f>
        <v>15</v>
      </c>
      <c r="G16" s="56" t="str">
        <f t="shared" si="0"/>
        <v>Patrick Jennings</v>
      </c>
    </row>
    <row r="17" spans="1:7" x14ac:dyDescent="0.25">
      <c r="A17" s="59" t="s">
        <v>621</v>
      </c>
      <c r="B17" s="59" t="s">
        <v>622</v>
      </c>
      <c r="C17" s="59" t="s">
        <v>630</v>
      </c>
      <c r="E17" s="56">
        <f>IF(A17="","",MAX(E$1:E16)+1)</f>
        <v>16</v>
      </c>
      <c r="G17" s="56" t="str">
        <f t="shared" si="0"/>
        <v>Rob Marley</v>
      </c>
    </row>
    <row r="18" spans="1:7" x14ac:dyDescent="0.25">
      <c r="A18" s="59" t="s">
        <v>602</v>
      </c>
      <c r="B18" s="59" t="s">
        <v>603</v>
      </c>
      <c r="C18" s="59" t="s">
        <v>604</v>
      </c>
      <c r="E18" s="56">
        <f>IF(A18="","",MAX(E$1:E17)+1)</f>
        <v>17</v>
      </c>
      <c r="G18" s="56" t="str">
        <f t="shared" si="0"/>
        <v>Valerie Bosse</v>
      </c>
    </row>
    <row r="19" spans="1:7" x14ac:dyDescent="0.25">
      <c r="A19" s="59" t="s">
        <v>605</v>
      </c>
      <c r="B19" s="59" t="s">
        <v>606</v>
      </c>
      <c r="C19" s="59" t="s">
        <v>607</v>
      </c>
      <c r="E19" s="56">
        <f>IF(A19="","",MAX(E$1:E18)+1)</f>
        <v>18</v>
      </c>
      <c r="G19" s="56" t="str">
        <f t="shared" si="0"/>
        <v>Vincent Brigance</v>
      </c>
    </row>
    <row r="20" spans="1:7" x14ac:dyDescent="0.25">
      <c r="A20" s="59" t="s">
        <v>718</v>
      </c>
      <c r="B20" s="59" t="s">
        <v>720</v>
      </c>
      <c r="C20" s="68" t="s">
        <v>719</v>
      </c>
      <c r="E20" s="56">
        <f>IF(A20="","",MAX(E$1:E19)+1)</f>
        <v>19</v>
      </c>
      <c r="G20" s="56" t="str">
        <f t="shared" si="0"/>
        <v>Dhara Patel</v>
      </c>
    </row>
    <row r="21" spans="1:7" x14ac:dyDescent="0.25">
      <c r="A21" s="59" t="s">
        <v>721</v>
      </c>
      <c r="B21" s="69" t="s">
        <v>722</v>
      </c>
      <c r="C21" s="11" t="s">
        <v>723</v>
      </c>
      <c r="E21" s="56">
        <f>IF(A21="","",MAX(E$1:E20)+1)</f>
        <v>20</v>
      </c>
      <c r="G21" s="56" t="str">
        <f t="shared" si="0"/>
        <v>Chelsea Calvanese</v>
      </c>
    </row>
    <row r="22" spans="1:7" x14ac:dyDescent="0.25">
      <c r="A22" s="71" t="s">
        <v>733</v>
      </c>
      <c r="B22" s="70" t="s">
        <v>734</v>
      </c>
      <c r="C22" s="59" t="s">
        <v>732</v>
      </c>
      <c r="E22" s="56">
        <f>IF(A22="","",MAX(E$1:E21)+1)</f>
        <v>21</v>
      </c>
      <c r="G22" s="56" t="str">
        <f t="shared" si="0"/>
        <v>Ronnie Mae Ayers</v>
      </c>
    </row>
    <row r="23" spans="1:7" x14ac:dyDescent="0.25">
      <c r="A23" s="59" t="s">
        <v>735</v>
      </c>
      <c r="B23" s="59" t="s">
        <v>737</v>
      </c>
      <c r="C23" s="59" t="s">
        <v>736</v>
      </c>
      <c r="E23" s="56">
        <f>IF(A23="","",MAX(E$1:E22)+1)</f>
        <v>22</v>
      </c>
      <c r="G23" s="56" t="str">
        <f t="shared" si="0"/>
        <v>Julia Spinella</v>
      </c>
    </row>
    <row r="24" spans="1:7" x14ac:dyDescent="0.25">
      <c r="A24" s="59" t="s">
        <v>739</v>
      </c>
      <c r="B24" s="59" t="s">
        <v>740</v>
      </c>
      <c r="C24" s="70" t="s">
        <v>738</v>
      </c>
      <c r="E24" s="56">
        <f>IF(A24="","",MAX(E$1:E23)+1)</f>
        <v>23</v>
      </c>
      <c r="G24" s="56" t="str">
        <f t="shared" si="0"/>
        <v>Sharon Ross</v>
      </c>
    </row>
    <row r="25" spans="1:7" x14ac:dyDescent="0.25">
      <c r="A25" s="59" t="s">
        <v>741</v>
      </c>
      <c r="B25" s="69" t="s">
        <v>742</v>
      </c>
      <c r="C25" s="59" t="s">
        <v>743</v>
      </c>
      <c r="E25" s="56">
        <f>IF(A25="","",MAX(E$1:E24)+1)</f>
        <v>24</v>
      </c>
      <c r="G25" s="56" t="str">
        <f t="shared" si="0"/>
        <v>Kasey Crampton</v>
      </c>
    </row>
    <row r="26" spans="1:7" x14ac:dyDescent="0.25">
      <c r="A26" s="59" t="s">
        <v>745</v>
      </c>
      <c r="B26" s="59" t="s">
        <v>746</v>
      </c>
      <c r="C26" s="59" t="s">
        <v>747</v>
      </c>
      <c r="E26" s="56">
        <f>IF(A26="","",MAX(E$1:E25)+1)</f>
        <v>25</v>
      </c>
      <c r="G26" s="56" t="str">
        <f t="shared" si="0"/>
        <v>Brigid Reynolds</v>
      </c>
    </row>
    <row r="27" spans="1:7" x14ac:dyDescent="0.25">
      <c r="A27" s="59" t="s">
        <v>748</v>
      </c>
      <c r="B27" s="59" t="s">
        <v>749</v>
      </c>
      <c r="C27" s="59" t="s">
        <v>750</v>
      </c>
      <c r="E27" s="56">
        <f>IF(A27="","",MAX(E$1:E26)+1)</f>
        <v>26</v>
      </c>
      <c r="G27" s="56" t="str">
        <f t="shared" si="0"/>
        <v>Ivan Ng</v>
      </c>
    </row>
    <row r="28" spans="1:7" x14ac:dyDescent="0.25">
      <c r="A28" s="59" t="s">
        <v>751</v>
      </c>
      <c r="B28" s="59" t="s">
        <v>752</v>
      </c>
      <c r="C28" s="59" t="s">
        <v>753</v>
      </c>
      <c r="E28" s="56">
        <f>IF(A28="","",MAX(E$1:E27)+1)</f>
        <v>27</v>
      </c>
      <c r="G28" s="56" t="str">
        <f t="shared" si="0"/>
        <v>Melanie Blaszkowski</v>
      </c>
    </row>
    <row r="29" spans="1:7" x14ac:dyDescent="0.25">
      <c r="A29" s="59" t="s">
        <v>754</v>
      </c>
      <c r="B29" s="59" t="s">
        <v>755</v>
      </c>
      <c r="C29" s="59" t="s">
        <v>756</v>
      </c>
      <c r="E29" s="56">
        <f>IF(A29="","",MAX(E$1:E28)+1)</f>
        <v>28</v>
      </c>
      <c r="G29" s="56" t="str">
        <f t="shared" si="0"/>
        <v>Vennessa Yatooma</v>
      </c>
    </row>
    <row r="30" spans="1:7" x14ac:dyDescent="0.25">
      <c r="A30" s="59" t="s">
        <v>757</v>
      </c>
      <c r="B30" s="59" t="s">
        <v>758</v>
      </c>
      <c r="C30" s="59" t="s">
        <v>759</v>
      </c>
      <c r="E30" s="56">
        <f>IF(A30="","",MAX(E$1:E29)+1)</f>
        <v>29</v>
      </c>
      <c r="G30" s="56" t="str">
        <f t="shared" si="0"/>
        <v>Michael Wixson</v>
      </c>
    </row>
    <row r="31" spans="1:7" x14ac:dyDescent="0.25">
      <c r="A31" s="59" t="s">
        <v>760</v>
      </c>
      <c r="B31" s="59" t="s">
        <v>761</v>
      </c>
      <c r="C31" s="59" t="s">
        <v>762</v>
      </c>
      <c r="E31" s="56">
        <f>IF(A31="","",MAX(E$1:E30)+1)</f>
        <v>30</v>
      </c>
      <c r="G31" s="56" t="str">
        <f t="shared" si="0"/>
        <v>Shenali Gunaratne</v>
      </c>
    </row>
    <row r="32" spans="1:7" x14ac:dyDescent="0.25">
      <c r="A32" s="59"/>
      <c r="B32" s="59"/>
      <c r="C32" s="59"/>
      <c r="E32" s="56" t="str">
        <f>IF(A32="","",MAX(E$1:E31)+1)</f>
        <v/>
      </c>
      <c r="G32" s="56" t="str">
        <f t="shared" si="0"/>
        <v xml:space="preserve"> </v>
      </c>
    </row>
    <row r="33" spans="1:7" x14ac:dyDescent="0.25">
      <c r="A33" s="59"/>
      <c r="B33" s="59"/>
      <c r="C33" s="59"/>
      <c r="E33" s="56" t="str">
        <f>IF(A33="","",MAX(E$1:E32)+1)</f>
        <v/>
      </c>
      <c r="G33" s="56" t="str">
        <f t="shared" si="0"/>
        <v>**No Name found**</v>
      </c>
    </row>
    <row r="34" spans="1:7" x14ac:dyDescent="0.25">
      <c r="A34" s="59"/>
      <c r="B34" s="59"/>
      <c r="C34" s="59"/>
      <c r="E34" s="56" t="str">
        <f>IF(A34="","",MAX(E$1:E33)+1)</f>
        <v/>
      </c>
      <c r="G34" s="56" t="str">
        <f t="shared" ref="G34:G65" si="1">IFERROR(INDEX($A$2:$A$201,MATCH(ROW()-ROW($G$1),$E$2:$E$201,0)),"")</f>
        <v/>
      </c>
    </row>
    <row r="35" spans="1:7" x14ac:dyDescent="0.25">
      <c r="A35" s="59"/>
      <c r="B35" s="59"/>
      <c r="C35" s="59"/>
      <c r="E35" s="56" t="str">
        <f>IF(A35="","",MAX(E$1:E34)+1)</f>
        <v/>
      </c>
      <c r="G35" s="56" t="str">
        <f t="shared" si="1"/>
        <v/>
      </c>
    </row>
    <row r="36" spans="1:7" x14ac:dyDescent="0.25">
      <c r="A36" s="59"/>
      <c r="B36" s="59"/>
      <c r="C36" s="59"/>
      <c r="E36" s="56" t="str">
        <f>IF(A36="","",MAX(E$1:E35)+1)</f>
        <v/>
      </c>
      <c r="G36" s="56" t="str">
        <f t="shared" si="1"/>
        <v/>
      </c>
    </row>
    <row r="37" spans="1:7" x14ac:dyDescent="0.25">
      <c r="A37" s="59"/>
      <c r="B37" s="59"/>
      <c r="C37" s="59"/>
      <c r="E37" s="56" t="str">
        <f>IF(A37="","",MAX(E$1:E36)+1)</f>
        <v/>
      </c>
      <c r="G37" s="56" t="str">
        <f t="shared" si="1"/>
        <v/>
      </c>
    </row>
    <row r="38" spans="1:7" x14ac:dyDescent="0.25">
      <c r="A38" s="59"/>
      <c r="B38" s="59"/>
      <c r="C38" s="59"/>
      <c r="E38" s="56" t="str">
        <f>IF(A38="","",MAX(E$1:E37)+1)</f>
        <v/>
      </c>
      <c r="G38" s="56" t="str">
        <f t="shared" si="1"/>
        <v/>
      </c>
    </row>
    <row r="39" spans="1:7" x14ac:dyDescent="0.25">
      <c r="A39" s="59"/>
      <c r="B39" s="59"/>
      <c r="C39" s="59"/>
      <c r="E39" s="56" t="str">
        <f>IF(A39="","",MAX(E$1:E38)+1)</f>
        <v/>
      </c>
      <c r="G39" s="56" t="str">
        <f t="shared" si="1"/>
        <v/>
      </c>
    </row>
    <row r="40" spans="1:7" x14ac:dyDescent="0.25">
      <c r="A40" s="59"/>
      <c r="B40" s="59"/>
      <c r="C40" s="59"/>
      <c r="E40" s="56" t="str">
        <f>IF(A40="","",MAX(E$1:E39)+1)</f>
        <v/>
      </c>
      <c r="G40" s="56" t="str">
        <f t="shared" si="1"/>
        <v/>
      </c>
    </row>
    <row r="41" spans="1:7" x14ac:dyDescent="0.25">
      <c r="A41" s="59"/>
      <c r="B41" s="59"/>
      <c r="C41" s="59"/>
      <c r="E41" s="56" t="str">
        <f>IF(A41="","",MAX(E$1:E40)+1)</f>
        <v/>
      </c>
      <c r="G41" s="56" t="str">
        <f t="shared" si="1"/>
        <v/>
      </c>
    </row>
    <row r="42" spans="1:7" x14ac:dyDescent="0.25">
      <c r="A42" s="59"/>
      <c r="B42" s="59"/>
      <c r="C42" s="59"/>
      <c r="E42" s="56" t="str">
        <f>IF(A42="","",MAX(E$1:E41)+1)</f>
        <v/>
      </c>
      <c r="G42" s="56" t="str">
        <f t="shared" si="1"/>
        <v/>
      </c>
    </row>
    <row r="43" spans="1:7" x14ac:dyDescent="0.25">
      <c r="A43" s="59"/>
      <c r="B43" s="59"/>
      <c r="C43" s="59"/>
      <c r="E43" s="56" t="str">
        <f>IF(A43="","",MAX(E$1:E42)+1)</f>
        <v/>
      </c>
      <c r="G43" s="56" t="str">
        <f t="shared" si="1"/>
        <v/>
      </c>
    </row>
    <row r="44" spans="1:7" x14ac:dyDescent="0.25">
      <c r="A44" s="59"/>
      <c r="B44" s="59"/>
      <c r="C44" s="59"/>
      <c r="E44" s="56" t="str">
        <f>IF(A44="","",MAX(E$1:E43)+1)</f>
        <v/>
      </c>
      <c r="G44" s="56" t="str">
        <f t="shared" si="1"/>
        <v/>
      </c>
    </row>
    <row r="45" spans="1:7" x14ac:dyDescent="0.25">
      <c r="A45" s="59"/>
      <c r="B45" s="59"/>
      <c r="C45" s="59"/>
      <c r="E45" s="56" t="str">
        <f>IF(A45="","",MAX(E$1:E44)+1)</f>
        <v/>
      </c>
      <c r="G45" s="56" t="str">
        <f t="shared" si="1"/>
        <v/>
      </c>
    </row>
    <row r="46" spans="1:7" x14ac:dyDescent="0.25">
      <c r="A46" s="59"/>
      <c r="B46" s="59"/>
      <c r="C46" s="59"/>
      <c r="E46" s="56" t="str">
        <f>IF(A46="","",MAX(E$1:E45)+1)</f>
        <v/>
      </c>
      <c r="G46" s="56" t="str">
        <f t="shared" si="1"/>
        <v/>
      </c>
    </row>
    <row r="47" spans="1:7" x14ac:dyDescent="0.25">
      <c r="A47" s="59"/>
      <c r="B47" s="59"/>
      <c r="C47" s="59"/>
      <c r="E47" s="56" t="str">
        <f>IF(A47="","",MAX(E$1:E46)+1)</f>
        <v/>
      </c>
      <c r="G47" s="56" t="str">
        <f t="shared" si="1"/>
        <v/>
      </c>
    </row>
    <row r="48" spans="1:7" x14ac:dyDescent="0.25">
      <c r="A48" s="59"/>
      <c r="B48" s="59"/>
      <c r="C48" s="59"/>
      <c r="E48" s="56" t="str">
        <f>IF(A48="","",MAX(E$1:E47)+1)</f>
        <v/>
      </c>
      <c r="G48" s="56" t="str">
        <f t="shared" si="1"/>
        <v/>
      </c>
    </row>
    <row r="49" spans="1:7" x14ac:dyDescent="0.25">
      <c r="A49" s="59"/>
      <c r="B49" s="59"/>
      <c r="C49" s="59"/>
      <c r="E49" s="56" t="str">
        <f>IF(A49="","",MAX(E$1:E48)+1)</f>
        <v/>
      </c>
      <c r="G49" s="56" t="str">
        <f t="shared" si="1"/>
        <v/>
      </c>
    </row>
    <row r="50" spans="1:7" x14ac:dyDescent="0.25">
      <c r="A50" s="59"/>
      <c r="B50" s="59"/>
      <c r="C50" s="59"/>
      <c r="E50" s="56" t="str">
        <f>IF(A50="","",MAX(E$1:E49)+1)</f>
        <v/>
      </c>
      <c r="G50" s="56" t="str">
        <f t="shared" si="1"/>
        <v/>
      </c>
    </row>
    <row r="51" spans="1:7" x14ac:dyDescent="0.25">
      <c r="A51" s="59"/>
      <c r="B51" s="59"/>
      <c r="C51" s="59"/>
      <c r="E51" s="56" t="str">
        <f>IF(A51="","",MAX(E$1:E50)+1)</f>
        <v/>
      </c>
      <c r="G51" s="56" t="str">
        <f t="shared" si="1"/>
        <v/>
      </c>
    </row>
    <row r="52" spans="1:7" x14ac:dyDescent="0.25">
      <c r="A52" s="59"/>
      <c r="B52" s="59"/>
      <c r="C52" s="59"/>
      <c r="E52" s="56" t="str">
        <f>IF(A52="","",MAX(E$1:E51)+1)</f>
        <v/>
      </c>
      <c r="G52" s="56" t="str">
        <f t="shared" si="1"/>
        <v/>
      </c>
    </row>
    <row r="53" spans="1:7" x14ac:dyDescent="0.25">
      <c r="A53" s="59"/>
      <c r="B53" s="59"/>
      <c r="C53" s="59"/>
      <c r="E53" s="56" t="str">
        <f>IF(A53="","",MAX(E$1:E52)+1)</f>
        <v/>
      </c>
      <c r="G53" s="56" t="str">
        <f t="shared" si="1"/>
        <v/>
      </c>
    </row>
    <row r="54" spans="1:7" x14ac:dyDescent="0.25">
      <c r="A54" s="59"/>
      <c r="B54" s="59"/>
      <c r="C54" s="59"/>
      <c r="E54" s="56" t="str">
        <f>IF(A54="","",MAX(E$1:E53)+1)</f>
        <v/>
      </c>
      <c r="G54" s="56" t="str">
        <f t="shared" si="1"/>
        <v/>
      </c>
    </row>
    <row r="55" spans="1:7" x14ac:dyDescent="0.25">
      <c r="A55" s="59"/>
      <c r="B55" s="59"/>
      <c r="C55" s="59"/>
      <c r="E55" s="56" t="str">
        <f>IF(A55="","",MAX(E$1:E54)+1)</f>
        <v/>
      </c>
      <c r="G55" s="56" t="str">
        <f t="shared" si="1"/>
        <v/>
      </c>
    </row>
    <row r="56" spans="1:7" x14ac:dyDescent="0.25">
      <c r="A56" s="59"/>
      <c r="B56" s="59"/>
      <c r="C56" s="59"/>
      <c r="E56" s="56" t="str">
        <f>IF(A56="","",MAX(E$1:E55)+1)</f>
        <v/>
      </c>
      <c r="G56" s="56" t="str">
        <f t="shared" si="1"/>
        <v/>
      </c>
    </row>
    <row r="57" spans="1:7" x14ac:dyDescent="0.25">
      <c r="A57" s="59"/>
      <c r="B57" s="59"/>
      <c r="C57" s="59"/>
      <c r="E57" s="56" t="str">
        <f>IF(A57="","",MAX(E$1:E56)+1)</f>
        <v/>
      </c>
      <c r="G57" s="56" t="str">
        <f t="shared" si="1"/>
        <v/>
      </c>
    </row>
    <row r="58" spans="1:7" x14ac:dyDescent="0.25">
      <c r="A58" s="59"/>
      <c r="B58" s="59"/>
      <c r="C58" s="59"/>
      <c r="E58" s="56" t="str">
        <f>IF(A58="","",MAX(E$1:E57)+1)</f>
        <v/>
      </c>
      <c r="G58" s="56" t="str">
        <f t="shared" si="1"/>
        <v/>
      </c>
    </row>
    <row r="59" spans="1:7" x14ac:dyDescent="0.25">
      <c r="A59" s="59"/>
      <c r="B59" s="59"/>
      <c r="C59" s="59"/>
      <c r="E59" s="56" t="str">
        <f>IF(A59="","",MAX(E$1:E58)+1)</f>
        <v/>
      </c>
      <c r="G59" s="56" t="str">
        <f t="shared" si="1"/>
        <v/>
      </c>
    </row>
    <row r="60" spans="1:7" x14ac:dyDescent="0.25">
      <c r="A60" s="59"/>
      <c r="B60" s="59"/>
      <c r="C60" s="59"/>
      <c r="E60" s="56" t="str">
        <f>IF(A60="","",MAX(E$1:E59)+1)</f>
        <v/>
      </c>
      <c r="G60" s="56" t="str">
        <f t="shared" si="1"/>
        <v/>
      </c>
    </row>
    <row r="61" spans="1:7" x14ac:dyDescent="0.25">
      <c r="A61" s="59"/>
      <c r="B61" s="59"/>
      <c r="C61" s="59"/>
      <c r="E61" s="56" t="str">
        <f>IF(A61="","",MAX(E$1:E60)+1)</f>
        <v/>
      </c>
      <c r="G61" s="56" t="str">
        <f t="shared" si="1"/>
        <v/>
      </c>
    </row>
    <row r="62" spans="1:7" x14ac:dyDescent="0.25">
      <c r="A62" s="59"/>
      <c r="B62" s="59"/>
      <c r="C62" s="59"/>
      <c r="E62" s="56" t="str">
        <f>IF(A62="","",MAX(E$1:E61)+1)</f>
        <v/>
      </c>
      <c r="G62" s="56" t="str">
        <f t="shared" si="1"/>
        <v/>
      </c>
    </row>
    <row r="63" spans="1:7" x14ac:dyDescent="0.25">
      <c r="A63" s="59"/>
      <c r="B63" s="59"/>
      <c r="C63" s="59"/>
      <c r="E63" s="56" t="str">
        <f>IF(A63="","",MAX(E$1:E62)+1)</f>
        <v/>
      </c>
      <c r="G63" s="56" t="str">
        <f t="shared" si="1"/>
        <v/>
      </c>
    </row>
    <row r="64" spans="1:7" x14ac:dyDescent="0.25">
      <c r="A64" s="59"/>
      <c r="B64" s="59"/>
      <c r="C64" s="59"/>
      <c r="E64" s="56" t="str">
        <f>IF(A64="","",MAX(E$1:E63)+1)</f>
        <v/>
      </c>
      <c r="G64" s="56" t="str">
        <f t="shared" si="1"/>
        <v/>
      </c>
    </row>
    <row r="65" spans="1:7" x14ac:dyDescent="0.25">
      <c r="A65" s="59"/>
      <c r="B65" s="59"/>
      <c r="C65" s="59"/>
      <c r="E65" s="56" t="str">
        <f>IF(A65="","",MAX(E$1:E64)+1)</f>
        <v/>
      </c>
      <c r="G65" s="56" t="str">
        <f t="shared" si="1"/>
        <v/>
      </c>
    </row>
    <row r="66" spans="1:7" x14ac:dyDescent="0.25">
      <c r="A66" s="59"/>
      <c r="B66" s="59"/>
      <c r="C66" s="59"/>
      <c r="E66" s="56" t="str">
        <f>IF(A66="","",MAX(E$1:E65)+1)</f>
        <v/>
      </c>
      <c r="G66" s="56" t="str">
        <f t="shared" ref="G66:G97" si="2">IFERROR(INDEX($A$2:$A$201,MATCH(ROW()-ROW($G$1),$E$2:$E$201,0)),"")</f>
        <v/>
      </c>
    </row>
    <row r="67" spans="1:7" x14ac:dyDescent="0.25">
      <c r="A67" s="59"/>
      <c r="B67" s="59"/>
      <c r="C67" s="59"/>
      <c r="E67" s="56" t="str">
        <f>IF(A67="","",MAX(E$1:E66)+1)</f>
        <v/>
      </c>
      <c r="G67" s="56" t="str">
        <f t="shared" si="2"/>
        <v/>
      </c>
    </row>
    <row r="68" spans="1:7" x14ac:dyDescent="0.25">
      <c r="A68" s="59"/>
      <c r="B68" s="59"/>
      <c r="C68" s="59"/>
      <c r="E68" s="56" t="str">
        <f>IF(A68="","",MAX(E$1:E67)+1)</f>
        <v/>
      </c>
      <c r="G68" s="56" t="str">
        <f t="shared" si="2"/>
        <v/>
      </c>
    </row>
    <row r="69" spans="1:7" x14ac:dyDescent="0.25">
      <c r="A69" s="59"/>
      <c r="B69" s="59"/>
      <c r="C69" s="59"/>
      <c r="E69" s="56" t="str">
        <f>IF(A69="","",MAX(E$1:E68)+1)</f>
        <v/>
      </c>
      <c r="G69" s="56" t="str">
        <f t="shared" si="2"/>
        <v/>
      </c>
    </row>
    <row r="70" spans="1:7" x14ac:dyDescent="0.25">
      <c r="A70" s="59"/>
      <c r="B70" s="59"/>
      <c r="C70" s="59"/>
      <c r="E70" s="56" t="str">
        <f>IF(A70="","",MAX(E$1:E69)+1)</f>
        <v/>
      </c>
      <c r="G70" s="56" t="str">
        <f t="shared" si="2"/>
        <v/>
      </c>
    </row>
    <row r="71" spans="1:7" x14ac:dyDescent="0.25">
      <c r="A71" s="59"/>
      <c r="B71" s="59"/>
      <c r="C71" s="59"/>
      <c r="E71" s="56" t="str">
        <f>IF(A71="","",MAX(E$1:E70)+1)</f>
        <v/>
      </c>
      <c r="G71" s="56" t="str">
        <f t="shared" si="2"/>
        <v/>
      </c>
    </row>
    <row r="72" spans="1:7" x14ac:dyDescent="0.25">
      <c r="A72" s="59"/>
      <c r="B72" s="59"/>
      <c r="C72" s="59"/>
      <c r="E72" s="56" t="str">
        <f>IF(A72="","",MAX(E$1:E71)+1)</f>
        <v/>
      </c>
      <c r="G72" s="56" t="str">
        <f t="shared" si="2"/>
        <v/>
      </c>
    </row>
    <row r="73" spans="1:7" x14ac:dyDescent="0.25">
      <c r="A73" s="59"/>
      <c r="B73" s="59"/>
      <c r="C73" s="59"/>
      <c r="E73" s="56" t="str">
        <f>IF(A73="","",MAX(E$1:E72)+1)</f>
        <v/>
      </c>
      <c r="G73" s="56" t="str">
        <f t="shared" si="2"/>
        <v/>
      </c>
    </row>
    <row r="74" spans="1:7" x14ac:dyDescent="0.25">
      <c r="A74" s="59"/>
      <c r="B74" s="59"/>
      <c r="C74" s="59"/>
      <c r="E74" s="56" t="str">
        <f>IF(A74="","",MAX(E$1:E73)+1)</f>
        <v/>
      </c>
      <c r="G74" s="56" t="str">
        <f t="shared" si="2"/>
        <v/>
      </c>
    </row>
    <row r="75" spans="1:7" x14ac:dyDescent="0.25">
      <c r="A75" s="59"/>
      <c r="B75" s="59"/>
      <c r="C75" s="59"/>
      <c r="E75" s="56" t="str">
        <f>IF(A75="","",MAX(E$1:E74)+1)</f>
        <v/>
      </c>
      <c r="G75" s="56" t="str">
        <f t="shared" si="2"/>
        <v/>
      </c>
    </row>
    <row r="76" spans="1:7" x14ac:dyDescent="0.25">
      <c r="A76" s="59"/>
      <c r="B76" s="59"/>
      <c r="C76" s="59"/>
      <c r="E76" s="56" t="str">
        <f>IF(A76="","",MAX(E$1:E75)+1)</f>
        <v/>
      </c>
      <c r="G76" s="56" t="str">
        <f t="shared" si="2"/>
        <v/>
      </c>
    </row>
    <row r="77" spans="1:7" x14ac:dyDescent="0.25">
      <c r="A77" s="59"/>
      <c r="B77" s="59"/>
      <c r="C77" s="59"/>
      <c r="E77" s="56" t="str">
        <f>IF(A77="","",MAX(E$1:E76)+1)</f>
        <v/>
      </c>
      <c r="G77" s="56" t="str">
        <f t="shared" si="2"/>
        <v/>
      </c>
    </row>
    <row r="78" spans="1:7" x14ac:dyDescent="0.25">
      <c r="A78" s="59"/>
      <c r="B78" s="59"/>
      <c r="C78" s="59"/>
      <c r="E78" s="56" t="str">
        <f>IF(A78="","",MAX(E$1:E77)+1)</f>
        <v/>
      </c>
      <c r="G78" s="56" t="str">
        <f t="shared" si="2"/>
        <v/>
      </c>
    </row>
    <row r="79" spans="1:7" x14ac:dyDescent="0.25">
      <c r="A79" s="59"/>
      <c r="B79" s="59"/>
      <c r="C79" s="59"/>
      <c r="E79" s="56" t="str">
        <f>IF(A79="","",MAX(E$1:E78)+1)</f>
        <v/>
      </c>
      <c r="G79" s="56" t="str">
        <f t="shared" si="2"/>
        <v/>
      </c>
    </row>
    <row r="80" spans="1:7" x14ac:dyDescent="0.25">
      <c r="A80" s="59"/>
      <c r="B80" s="59"/>
      <c r="C80" s="59"/>
      <c r="E80" s="56" t="str">
        <f>IF(A80="","",MAX(E$1:E79)+1)</f>
        <v/>
      </c>
      <c r="G80" s="56" t="str">
        <f t="shared" si="2"/>
        <v/>
      </c>
    </row>
    <row r="81" spans="1:7" x14ac:dyDescent="0.25">
      <c r="A81" s="59"/>
      <c r="B81" s="59"/>
      <c r="C81" s="59"/>
      <c r="E81" s="56" t="str">
        <f>IF(A81="","",MAX(E$1:E80)+1)</f>
        <v/>
      </c>
      <c r="G81" s="56" t="str">
        <f t="shared" si="2"/>
        <v/>
      </c>
    </row>
    <row r="82" spans="1:7" x14ac:dyDescent="0.25">
      <c r="A82" s="59"/>
      <c r="B82" s="59"/>
      <c r="C82" s="59"/>
      <c r="E82" s="56" t="str">
        <f>IF(A82="","",MAX(E$1:E81)+1)</f>
        <v/>
      </c>
      <c r="G82" s="56" t="str">
        <f t="shared" si="2"/>
        <v/>
      </c>
    </row>
    <row r="83" spans="1:7" x14ac:dyDescent="0.25">
      <c r="A83" s="59"/>
      <c r="B83" s="59"/>
      <c r="C83" s="59"/>
      <c r="E83" s="56" t="str">
        <f>IF(A83="","",MAX(E$1:E82)+1)</f>
        <v/>
      </c>
      <c r="G83" s="56" t="str">
        <f t="shared" si="2"/>
        <v/>
      </c>
    </row>
    <row r="84" spans="1:7" x14ac:dyDescent="0.25">
      <c r="A84" s="59"/>
      <c r="B84" s="59"/>
      <c r="C84" s="59"/>
      <c r="E84" s="56" t="str">
        <f>IF(A84="","",MAX(E$1:E83)+1)</f>
        <v/>
      </c>
      <c r="G84" s="56" t="str">
        <f t="shared" si="2"/>
        <v/>
      </c>
    </row>
    <row r="85" spans="1:7" x14ac:dyDescent="0.25">
      <c r="A85" s="59"/>
      <c r="B85" s="59"/>
      <c r="C85" s="59"/>
      <c r="E85" s="56" t="str">
        <f>IF(A85="","",MAX(E$1:E84)+1)</f>
        <v/>
      </c>
      <c r="G85" s="56" t="str">
        <f t="shared" si="2"/>
        <v/>
      </c>
    </row>
    <row r="86" spans="1:7" x14ac:dyDescent="0.25">
      <c r="A86" s="59"/>
      <c r="B86" s="59"/>
      <c r="C86" s="59"/>
      <c r="E86" s="56" t="str">
        <f>IF(A86="","",MAX(E$1:E85)+1)</f>
        <v/>
      </c>
      <c r="G86" s="56" t="str">
        <f t="shared" si="2"/>
        <v/>
      </c>
    </row>
    <row r="87" spans="1:7" x14ac:dyDescent="0.25">
      <c r="A87" s="59"/>
      <c r="B87" s="59"/>
      <c r="C87" s="59"/>
      <c r="E87" s="56" t="str">
        <f>IF(A87="","",MAX(E$1:E86)+1)</f>
        <v/>
      </c>
      <c r="G87" s="56" t="str">
        <f t="shared" si="2"/>
        <v/>
      </c>
    </row>
    <row r="88" spans="1:7" x14ac:dyDescent="0.25">
      <c r="A88" s="59"/>
      <c r="B88" s="59"/>
      <c r="C88" s="59"/>
      <c r="E88" s="56" t="str">
        <f>IF(A88="","",MAX(E$1:E87)+1)</f>
        <v/>
      </c>
      <c r="G88" s="56" t="str">
        <f t="shared" si="2"/>
        <v/>
      </c>
    </row>
    <row r="89" spans="1:7" x14ac:dyDescent="0.25">
      <c r="A89" s="59"/>
      <c r="B89" s="59"/>
      <c r="C89" s="59"/>
      <c r="E89" s="56" t="str">
        <f>IF(A89="","",MAX(E$1:E88)+1)</f>
        <v/>
      </c>
      <c r="G89" s="56" t="str">
        <f t="shared" si="2"/>
        <v/>
      </c>
    </row>
    <row r="90" spans="1:7" x14ac:dyDescent="0.25">
      <c r="A90" s="59"/>
      <c r="B90" s="59"/>
      <c r="C90" s="59"/>
      <c r="E90" s="56" t="str">
        <f>IF(A90="","",MAX(E$1:E89)+1)</f>
        <v/>
      </c>
      <c r="G90" s="56" t="str">
        <f t="shared" si="2"/>
        <v/>
      </c>
    </row>
    <row r="91" spans="1:7" x14ac:dyDescent="0.25">
      <c r="A91" s="59"/>
      <c r="B91" s="59"/>
      <c r="C91" s="59"/>
      <c r="E91" s="56" t="str">
        <f>IF(A91="","",MAX(E$1:E90)+1)</f>
        <v/>
      </c>
      <c r="G91" s="56" t="str">
        <f t="shared" si="2"/>
        <v/>
      </c>
    </row>
    <row r="92" spans="1:7" x14ac:dyDescent="0.25">
      <c r="A92" s="59"/>
      <c r="B92" s="59"/>
      <c r="C92" s="59"/>
      <c r="E92" s="56" t="str">
        <f>IF(A92="","",MAX(E$1:E91)+1)</f>
        <v/>
      </c>
      <c r="G92" s="56" t="str">
        <f t="shared" si="2"/>
        <v/>
      </c>
    </row>
    <row r="93" spans="1:7" x14ac:dyDescent="0.25">
      <c r="A93" s="59"/>
      <c r="B93" s="59"/>
      <c r="C93" s="59"/>
      <c r="E93" s="56" t="str">
        <f>IF(A93="","",MAX(E$1:E92)+1)</f>
        <v/>
      </c>
      <c r="G93" s="56" t="str">
        <f t="shared" si="2"/>
        <v/>
      </c>
    </row>
    <row r="94" spans="1:7" x14ac:dyDescent="0.25">
      <c r="A94" s="59"/>
      <c r="B94" s="59"/>
      <c r="C94" s="59"/>
      <c r="E94" s="56" t="str">
        <f>IF(A94="","",MAX(E$1:E93)+1)</f>
        <v/>
      </c>
      <c r="G94" s="56" t="str">
        <f t="shared" si="2"/>
        <v/>
      </c>
    </row>
    <row r="95" spans="1:7" x14ac:dyDescent="0.25">
      <c r="A95" s="59"/>
      <c r="B95" s="59"/>
      <c r="C95" s="59"/>
      <c r="E95" s="56" t="str">
        <f>IF(A95="","",MAX(E$1:E94)+1)</f>
        <v/>
      </c>
      <c r="G95" s="56" t="str">
        <f t="shared" si="2"/>
        <v/>
      </c>
    </row>
    <row r="96" spans="1:7" x14ac:dyDescent="0.25">
      <c r="A96" s="59"/>
      <c r="B96" s="59"/>
      <c r="C96" s="59"/>
      <c r="E96" s="56" t="str">
        <f>IF(A96="","",MAX(E$1:E95)+1)</f>
        <v/>
      </c>
      <c r="G96" s="56" t="str">
        <f t="shared" si="2"/>
        <v/>
      </c>
    </row>
    <row r="97" spans="1:7" x14ac:dyDescent="0.25">
      <c r="A97" s="59"/>
      <c r="B97" s="59"/>
      <c r="C97" s="59"/>
      <c r="E97" s="56" t="str">
        <f>IF(A97="","",MAX(E$1:E96)+1)</f>
        <v/>
      </c>
      <c r="G97" s="56" t="str">
        <f t="shared" si="2"/>
        <v/>
      </c>
    </row>
    <row r="98" spans="1:7" x14ac:dyDescent="0.25">
      <c r="A98" s="59"/>
      <c r="B98" s="59"/>
      <c r="C98" s="59"/>
      <c r="E98" s="56" t="str">
        <f>IF(A98="","",MAX(E$1:E97)+1)</f>
        <v/>
      </c>
      <c r="G98" s="56" t="str">
        <f t="shared" ref="G98:G129" si="3">IFERROR(INDEX($A$2:$A$201,MATCH(ROW()-ROW($G$1),$E$2:$E$201,0)),"")</f>
        <v/>
      </c>
    </row>
    <row r="99" spans="1:7" x14ac:dyDescent="0.25">
      <c r="A99" s="59"/>
      <c r="B99" s="59"/>
      <c r="C99" s="59"/>
      <c r="E99" s="56" t="str">
        <f>IF(A99="","",MAX(E$1:E98)+1)</f>
        <v/>
      </c>
      <c r="G99" s="56" t="str">
        <f t="shared" si="3"/>
        <v/>
      </c>
    </row>
    <row r="100" spans="1:7" x14ac:dyDescent="0.25">
      <c r="A100" s="59"/>
      <c r="B100" s="59"/>
      <c r="C100" s="59"/>
      <c r="E100" s="56" t="str">
        <f>IF(A100="","",MAX(E$1:E99)+1)</f>
        <v/>
      </c>
      <c r="G100" s="56" t="str">
        <f t="shared" si="3"/>
        <v/>
      </c>
    </row>
    <row r="101" spans="1:7" x14ac:dyDescent="0.25">
      <c r="A101" s="59"/>
      <c r="B101" s="59"/>
      <c r="C101" s="59"/>
      <c r="E101" s="56" t="str">
        <f>IF(A101="","",MAX(E$1:E100)+1)</f>
        <v/>
      </c>
      <c r="G101" s="56" t="str">
        <f t="shared" si="3"/>
        <v/>
      </c>
    </row>
    <row r="102" spans="1:7" x14ac:dyDescent="0.25">
      <c r="A102" s="59"/>
      <c r="B102" s="59"/>
      <c r="C102" s="59"/>
      <c r="E102" s="56" t="str">
        <f>IF(A102="","",MAX(E$1:E101)+1)</f>
        <v/>
      </c>
      <c r="G102" s="56" t="str">
        <f t="shared" si="3"/>
        <v/>
      </c>
    </row>
    <row r="103" spans="1:7" x14ac:dyDescent="0.25">
      <c r="A103" s="59"/>
      <c r="B103" s="59"/>
      <c r="C103" s="59"/>
      <c r="E103" s="56" t="str">
        <f>IF(A103="","",MAX(E$1:E102)+1)</f>
        <v/>
      </c>
      <c r="G103" s="56" t="str">
        <f t="shared" si="3"/>
        <v/>
      </c>
    </row>
    <row r="104" spans="1:7" x14ac:dyDescent="0.25">
      <c r="A104" s="59"/>
      <c r="B104" s="59"/>
      <c r="C104" s="59"/>
      <c r="E104" s="56" t="str">
        <f>IF(A104="","",MAX(E$1:E103)+1)</f>
        <v/>
      </c>
      <c r="G104" s="56" t="str">
        <f t="shared" si="3"/>
        <v/>
      </c>
    </row>
    <row r="105" spans="1:7" x14ac:dyDescent="0.25">
      <c r="A105" s="59"/>
      <c r="B105" s="59"/>
      <c r="C105" s="59"/>
      <c r="E105" s="56" t="str">
        <f>IF(A105="","",MAX(E$1:E104)+1)</f>
        <v/>
      </c>
      <c r="G105" s="56" t="str">
        <f t="shared" si="3"/>
        <v/>
      </c>
    </row>
    <row r="106" spans="1:7" x14ac:dyDescent="0.25">
      <c r="A106" s="59"/>
      <c r="B106" s="59"/>
      <c r="C106" s="59"/>
      <c r="E106" s="56" t="str">
        <f>IF(A106="","",MAX(E$1:E105)+1)</f>
        <v/>
      </c>
      <c r="G106" s="56" t="str">
        <f t="shared" si="3"/>
        <v/>
      </c>
    </row>
    <row r="107" spans="1:7" x14ac:dyDescent="0.25">
      <c r="A107" s="59"/>
      <c r="B107" s="59"/>
      <c r="C107" s="59"/>
      <c r="E107" s="56" t="str">
        <f>IF(A107="","",MAX(E$1:E106)+1)</f>
        <v/>
      </c>
      <c r="G107" s="56" t="str">
        <f t="shared" si="3"/>
        <v/>
      </c>
    </row>
    <row r="108" spans="1:7" x14ac:dyDescent="0.25">
      <c r="A108" s="59"/>
      <c r="B108" s="59"/>
      <c r="C108" s="59"/>
      <c r="E108" s="56" t="str">
        <f>IF(A108="","",MAX(E$1:E107)+1)</f>
        <v/>
      </c>
      <c r="G108" s="56" t="str">
        <f t="shared" si="3"/>
        <v/>
      </c>
    </row>
    <row r="109" spans="1:7" x14ac:dyDescent="0.25">
      <c r="A109" s="59"/>
      <c r="B109" s="59"/>
      <c r="C109" s="59"/>
      <c r="E109" s="56" t="str">
        <f>IF(A109="","",MAX(E$1:E108)+1)</f>
        <v/>
      </c>
      <c r="G109" s="56" t="str">
        <f t="shared" si="3"/>
        <v/>
      </c>
    </row>
    <row r="110" spans="1:7" x14ac:dyDescent="0.25">
      <c r="A110" s="59"/>
      <c r="B110" s="59"/>
      <c r="C110" s="59"/>
      <c r="E110" s="56" t="str">
        <f>IF(A110="","",MAX(E$1:E109)+1)</f>
        <v/>
      </c>
      <c r="G110" s="56" t="str">
        <f t="shared" si="3"/>
        <v/>
      </c>
    </row>
    <row r="111" spans="1:7" x14ac:dyDescent="0.25">
      <c r="A111" s="59"/>
      <c r="B111" s="59"/>
      <c r="C111" s="59"/>
      <c r="E111" s="56" t="str">
        <f>IF(A111="","",MAX(E$1:E110)+1)</f>
        <v/>
      </c>
      <c r="G111" s="56" t="str">
        <f t="shared" si="3"/>
        <v/>
      </c>
    </row>
    <row r="112" spans="1:7" x14ac:dyDescent="0.25">
      <c r="A112" s="59"/>
      <c r="B112" s="59"/>
      <c r="C112" s="59"/>
      <c r="E112" s="56" t="str">
        <f>IF(A112="","",MAX(E$1:E111)+1)</f>
        <v/>
      </c>
      <c r="G112" s="56" t="str">
        <f t="shared" si="3"/>
        <v/>
      </c>
    </row>
    <row r="113" spans="1:7" x14ac:dyDescent="0.25">
      <c r="A113" s="59"/>
      <c r="B113" s="59"/>
      <c r="C113" s="59"/>
      <c r="E113" s="56" t="str">
        <f>IF(A113="","",MAX(E$1:E112)+1)</f>
        <v/>
      </c>
      <c r="G113" s="56" t="str">
        <f t="shared" si="3"/>
        <v/>
      </c>
    </row>
    <row r="114" spans="1:7" x14ac:dyDescent="0.25">
      <c r="A114" s="59"/>
      <c r="B114" s="59"/>
      <c r="C114" s="59"/>
      <c r="E114" s="56" t="str">
        <f>IF(A114="","",MAX(E$1:E113)+1)</f>
        <v/>
      </c>
      <c r="G114" s="56" t="str">
        <f t="shared" si="3"/>
        <v/>
      </c>
    </row>
    <row r="115" spans="1:7" x14ac:dyDescent="0.25">
      <c r="A115" s="59"/>
      <c r="B115" s="59"/>
      <c r="C115" s="59"/>
      <c r="E115" s="56" t="str">
        <f>IF(A115="","",MAX(E$1:E114)+1)</f>
        <v/>
      </c>
      <c r="G115" s="56" t="str">
        <f t="shared" si="3"/>
        <v/>
      </c>
    </row>
    <row r="116" spans="1:7" x14ac:dyDescent="0.25">
      <c r="A116" s="59"/>
      <c r="B116" s="59"/>
      <c r="C116" s="59"/>
      <c r="E116" s="56" t="str">
        <f>IF(A116="","",MAX(E$1:E115)+1)</f>
        <v/>
      </c>
      <c r="G116" s="56" t="str">
        <f t="shared" si="3"/>
        <v/>
      </c>
    </row>
    <row r="117" spans="1:7" x14ac:dyDescent="0.25">
      <c r="A117" s="59"/>
      <c r="B117" s="59"/>
      <c r="C117" s="59"/>
      <c r="E117" s="56" t="str">
        <f>IF(A117="","",MAX(E$1:E116)+1)</f>
        <v/>
      </c>
      <c r="G117" s="56" t="str">
        <f t="shared" si="3"/>
        <v/>
      </c>
    </row>
    <row r="118" spans="1:7" x14ac:dyDescent="0.25">
      <c r="A118" s="59"/>
      <c r="B118" s="59"/>
      <c r="C118" s="59"/>
      <c r="E118" s="56" t="str">
        <f>IF(A118="","",MAX(E$1:E117)+1)</f>
        <v/>
      </c>
      <c r="G118" s="56" t="str">
        <f t="shared" si="3"/>
        <v/>
      </c>
    </row>
    <row r="119" spans="1:7" x14ac:dyDescent="0.25">
      <c r="A119" s="59"/>
      <c r="B119" s="59"/>
      <c r="C119" s="59"/>
      <c r="E119" s="56" t="str">
        <f>IF(A119="","",MAX(E$1:E118)+1)</f>
        <v/>
      </c>
      <c r="G119" s="56" t="str">
        <f t="shared" si="3"/>
        <v/>
      </c>
    </row>
    <row r="120" spans="1:7" x14ac:dyDescent="0.25">
      <c r="A120" s="59"/>
      <c r="B120" s="59"/>
      <c r="C120" s="59"/>
      <c r="E120" s="56" t="str">
        <f>IF(A120="","",MAX(E$1:E119)+1)</f>
        <v/>
      </c>
      <c r="G120" s="56" t="str">
        <f t="shared" si="3"/>
        <v/>
      </c>
    </row>
    <row r="121" spans="1:7" x14ac:dyDescent="0.25">
      <c r="A121" s="59"/>
      <c r="B121" s="59"/>
      <c r="C121" s="59"/>
      <c r="E121" s="56" t="str">
        <f>IF(A121="","",MAX(E$1:E120)+1)</f>
        <v/>
      </c>
      <c r="G121" s="56" t="str">
        <f t="shared" si="3"/>
        <v/>
      </c>
    </row>
    <row r="122" spans="1:7" x14ac:dyDescent="0.25">
      <c r="A122" s="59"/>
      <c r="B122" s="59"/>
      <c r="C122" s="59"/>
      <c r="E122" s="56" t="str">
        <f>IF(A122="","",MAX(E$1:E121)+1)</f>
        <v/>
      </c>
      <c r="G122" s="56" t="str">
        <f t="shared" si="3"/>
        <v/>
      </c>
    </row>
    <row r="123" spans="1:7" x14ac:dyDescent="0.25">
      <c r="A123" s="59"/>
      <c r="B123" s="59"/>
      <c r="C123" s="59"/>
      <c r="E123" s="56" t="str">
        <f>IF(A123="","",MAX(E$1:E122)+1)</f>
        <v/>
      </c>
      <c r="G123" s="56" t="str">
        <f t="shared" si="3"/>
        <v/>
      </c>
    </row>
    <row r="124" spans="1:7" x14ac:dyDescent="0.25">
      <c r="A124" s="59"/>
      <c r="B124" s="59"/>
      <c r="C124" s="59"/>
      <c r="E124" s="56" t="str">
        <f>IF(A124="","",MAX(E$1:E123)+1)</f>
        <v/>
      </c>
      <c r="G124" s="56" t="str">
        <f t="shared" si="3"/>
        <v/>
      </c>
    </row>
    <row r="125" spans="1:7" x14ac:dyDescent="0.25">
      <c r="A125" s="59"/>
      <c r="B125" s="59"/>
      <c r="C125" s="59"/>
      <c r="E125" s="56" t="str">
        <f>IF(A125="","",MAX(E$1:E124)+1)</f>
        <v/>
      </c>
      <c r="G125" s="56" t="str">
        <f t="shared" si="3"/>
        <v/>
      </c>
    </row>
    <row r="126" spans="1:7" x14ac:dyDescent="0.25">
      <c r="A126" s="59"/>
      <c r="B126" s="59"/>
      <c r="C126" s="59"/>
      <c r="E126" s="56" t="str">
        <f>IF(A126="","",MAX(E$1:E125)+1)</f>
        <v/>
      </c>
      <c r="G126" s="56" t="str">
        <f t="shared" si="3"/>
        <v/>
      </c>
    </row>
    <row r="127" spans="1:7" x14ac:dyDescent="0.25">
      <c r="A127" s="59"/>
      <c r="B127" s="59"/>
      <c r="C127" s="59"/>
      <c r="E127" s="56" t="str">
        <f>IF(A127="","",MAX(E$1:E126)+1)</f>
        <v/>
      </c>
      <c r="G127" s="56" t="str">
        <f t="shared" si="3"/>
        <v/>
      </c>
    </row>
    <row r="128" spans="1:7" x14ac:dyDescent="0.25">
      <c r="A128" s="59"/>
      <c r="B128" s="59"/>
      <c r="C128" s="59"/>
      <c r="E128" s="56" t="str">
        <f>IF(A128="","",MAX(E$1:E127)+1)</f>
        <v/>
      </c>
      <c r="G128" s="56" t="str">
        <f t="shared" si="3"/>
        <v/>
      </c>
    </row>
    <row r="129" spans="1:7" x14ac:dyDescent="0.25">
      <c r="A129" s="59"/>
      <c r="B129" s="59"/>
      <c r="C129" s="59"/>
      <c r="E129" s="56" t="str">
        <f>IF(A129="","",MAX(E$1:E128)+1)</f>
        <v/>
      </c>
      <c r="G129" s="56" t="str">
        <f t="shared" si="3"/>
        <v/>
      </c>
    </row>
    <row r="130" spans="1:7" x14ac:dyDescent="0.25">
      <c r="A130" s="59"/>
      <c r="B130" s="59"/>
      <c r="C130" s="59"/>
      <c r="E130" s="56" t="str">
        <f>IF(A130="","",MAX(E$1:E129)+1)</f>
        <v/>
      </c>
      <c r="G130" s="56" t="str">
        <f t="shared" ref="G130:G151" si="4">IFERROR(INDEX($A$2:$A$201,MATCH(ROW()-ROW($G$1),$E$2:$E$201,0)),"")</f>
        <v/>
      </c>
    </row>
    <row r="131" spans="1:7" x14ac:dyDescent="0.25">
      <c r="A131" s="59"/>
      <c r="B131" s="59"/>
      <c r="C131" s="59"/>
      <c r="E131" s="56" t="str">
        <f>IF(A131="","",MAX(E$1:E130)+1)</f>
        <v/>
      </c>
      <c r="G131" s="56" t="str">
        <f t="shared" si="4"/>
        <v/>
      </c>
    </row>
    <row r="132" spans="1:7" x14ac:dyDescent="0.25">
      <c r="A132" s="59"/>
      <c r="B132" s="59"/>
      <c r="C132" s="59"/>
      <c r="E132" s="56" t="str">
        <f>IF(A132="","",MAX(E$1:E131)+1)</f>
        <v/>
      </c>
      <c r="G132" s="56" t="str">
        <f t="shared" si="4"/>
        <v/>
      </c>
    </row>
    <row r="133" spans="1:7" x14ac:dyDescent="0.25">
      <c r="A133" s="59"/>
      <c r="B133" s="59"/>
      <c r="C133" s="59"/>
      <c r="E133" s="56" t="str">
        <f>IF(A133="","",MAX(E$1:E132)+1)</f>
        <v/>
      </c>
      <c r="G133" s="56" t="str">
        <f t="shared" si="4"/>
        <v/>
      </c>
    </row>
    <row r="134" spans="1:7" x14ac:dyDescent="0.25">
      <c r="A134" s="59"/>
      <c r="B134" s="59"/>
      <c r="C134" s="59"/>
      <c r="E134" s="56" t="str">
        <f>IF(A134="","",MAX(E$1:E133)+1)</f>
        <v/>
      </c>
      <c r="G134" s="56" t="str">
        <f t="shared" si="4"/>
        <v/>
      </c>
    </row>
    <row r="135" spans="1:7" x14ac:dyDescent="0.25">
      <c r="A135" s="59"/>
      <c r="B135" s="59"/>
      <c r="C135" s="59"/>
      <c r="E135" s="56" t="str">
        <f>IF(A135="","",MAX(E$1:E134)+1)</f>
        <v/>
      </c>
      <c r="G135" s="56" t="str">
        <f t="shared" si="4"/>
        <v/>
      </c>
    </row>
    <row r="136" spans="1:7" x14ac:dyDescent="0.25">
      <c r="A136" s="59"/>
      <c r="B136" s="59"/>
      <c r="C136" s="59"/>
      <c r="E136" s="56" t="str">
        <f>IF(A136="","",MAX(E$1:E135)+1)</f>
        <v/>
      </c>
      <c r="G136" s="56" t="str">
        <f t="shared" si="4"/>
        <v/>
      </c>
    </row>
    <row r="137" spans="1:7" x14ac:dyDescent="0.25">
      <c r="A137" s="59"/>
      <c r="B137" s="59"/>
      <c r="C137" s="59"/>
      <c r="E137" s="56" t="str">
        <f>IF(A137="","",MAX(E$1:E136)+1)</f>
        <v/>
      </c>
      <c r="G137" s="56" t="str">
        <f t="shared" si="4"/>
        <v/>
      </c>
    </row>
    <row r="138" spans="1:7" x14ac:dyDescent="0.25">
      <c r="A138" s="59"/>
      <c r="B138" s="59"/>
      <c r="C138" s="59"/>
      <c r="E138" s="56" t="str">
        <f>IF(A138="","",MAX(E$1:E137)+1)</f>
        <v/>
      </c>
      <c r="G138" s="56" t="str">
        <f t="shared" si="4"/>
        <v/>
      </c>
    </row>
    <row r="139" spans="1:7" x14ac:dyDescent="0.25">
      <c r="A139" s="59"/>
      <c r="B139" s="59"/>
      <c r="C139" s="59"/>
      <c r="E139" s="56" t="str">
        <f>IF(A139="","",MAX(E$1:E138)+1)</f>
        <v/>
      </c>
      <c r="G139" s="56" t="str">
        <f t="shared" si="4"/>
        <v/>
      </c>
    </row>
    <row r="140" spans="1:7" x14ac:dyDescent="0.25">
      <c r="A140" s="59"/>
      <c r="B140" s="59"/>
      <c r="C140" s="59"/>
      <c r="E140" s="56" t="str">
        <f>IF(A140="","",MAX(E$1:E139)+1)</f>
        <v/>
      </c>
      <c r="G140" s="56" t="str">
        <f t="shared" si="4"/>
        <v/>
      </c>
    </row>
    <row r="141" spans="1:7" x14ac:dyDescent="0.25">
      <c r="A141" s="59"/>
      <c r="B141" s="59"/>
      <c r="C141" s="59"/>
      <c r="E141" s="56" t="str">
        <f>IF(A141="","",MAX(E$1:E140)+1)</f>
        <v/>
      </c>
      <c r="G141" s="56" t="str">
        <f t="shared" si="4"/>
        <v/>
      </c>
    </row>
    <row r="142" spans="1:7" x14ac:dyDescent="0.25">
      <c r="A142" s="59"/>
      <c r="B142" s="59"/>
      <c r="C142" s="59"/>
      <c r="E142" s="56" t="str">
        <f>IF(A142="","",MAX(E$1:E141)+1)</f>
        <v/>
      </c>
      <c r="G142" s="56" t="str">
        <f t="shared" si="4"/>
        <v/>
      </c>
    </row>
    <row r="143" spans="1:7" x14ac:dyDescent="0.25">
      <c r="A143" s="59"/>
      <c r="B143" s="59"/>
      <c r="C143" s="59"/>
      <c r="E143" s="56" t="str">
        <f>IF(A143="","",MAX(E$1:E142)+1)</f>
        <v/>
      </c>
      <c r="G143" s="56" t="str">
        <f t="shared" si="4"/>
        <v/>
      </c>
    </row>
    <row r="144" spans="1:7" x14ac:dyDescent="0.25">
      <c r="A144" s="59"/>
      <c r="B144" s="59"/>
      <c r="C144" s="59"/>
      <c r="E144" s="56" t="str">
        <f>IF(A144="","",MAX(E$1:E143)+1)</f>
        <v/>
      </c>
      <c r="G144" s="56" t="str">
        <f t="shared" si="4"/>
        <v/>
      </c>
    </row>
    <row r="145" spans="1:7" x14ac:dyDescent="0.25">
      <c r="A145" s="59"/>
      <c r="B145" s="59"/>
      <c r="C145" s="59"/>
      <c r="E145" s="56" t="str">
        <f>IF(A145="","",MAX(E$1:E144)+1)</f>
        <v/>
      </c>
      <c r="G145" s="56" t="str">
        <f t="shared" si="4"/>
        <v/>
      </c>
    </row>
    <row r="146" spans="1:7" x14ac:dyDescent="0.25">
      <c r="A146" s="59"/>
      <c r="B146" s="59"/>
      <c r="C146" s="59"/>
      <c r="E146" s="56" t="str">
        <f>IF(A146="","",MAX(E$1:E145)+1)</f>
        <v/>
      </c>
      <c r="G146" s="56" t="str">
        <f t="shared" si="4"/>
        <v/>
      </c>
    </row>
    <row r="147" spans="1:7" x14ac:dyDescent="0.25">
      <c r="A147" s="59"/>
      <c r="B147" s="59"/>
      <c r="C147" s="59"/>
      <c r="E147" s="56" t="str">
        <f>IF(A147="","",MAX(E$1:E146)+1)</f>
        <v/>
      </c>
      <c r="G147" s="56" t="str">
        <f t="shared" si="4"/>
        <v/>
      </c>
    </row>
    <row r="148" spans="1:7" x14ac:dyDescent="0.25">
      <c r="A148" s="59"/>
      <c r="B148" s="59"/>
      <c r="C148" s="59"/>
      <c r="E148" s="56" t="str">
        <f>IF(A148="","",MAX(E$1:E147)+1)</f>
        <v/>
      </c>
      <c r="G148" s="56" t="str">
        <f t="shared" si="4"/>
        <v/>
      </c>
    </row>
    <row r="149" spans="1:7" x14ac:dyDescent="0.25">
      <c r="A149" s="59"/>
      <c r="B149" s="59"/>
      <c r="C149" s="59"/>
      <c r="E149" s="56" t="str">
        <f>IF(A149="","",MAX(E$1:E148)+1)</f>
        <v/>
      </c>
      <c r="G149" s="56" t="str">
        <f t="shared" si="4"/>
        <v/>
      </c>
    </row>
    <row r="150" spans="1:7" x14ac:dyDescent="0.25">
      <c r="A150" s="59" t="s">
        <v>640</v>
      </c>
      <c r="B150" s="59" t="s">
        <v>640</v>
      </c>
      <c r="C150" s="59" t="s">
        <v>640</v>
      </c>
      <c r="E150" s="56">
        <f>IF(A150="","",MAX(E$1:E149)+1)</f>
        <v>31</v>
      </c>
      <c r="G150" s="56" t="str">
        <f t="shared" si="4"/>
        <v/>
      </c>
    </row>
    <row r="151" spans="1:7" x14ac:dyDescent="0.25">
      <c r="A151" s="62" t="s">
        <v>609</v>
      </c>
      <c r="B151" s="63" t="s">
        <v>577</v>
      </c>
      <c r="C151" s="62" t="s">
        <v>578</v>
      </c>
      <c r="E151" s="56">
        <f>IF(A151="","",MAX(E$1:E150)+1)</f>
        <v>32</v>
      </c>
      <c r="G151" s="56" t="str">
        <f t="shared" si="4"/>
        <v/>
      </c>
    </row>
  </sheetData>
  <sheetProtection password="CF63" sheet="1" objects="1" scenarios="1"/>
  <sortState ref="A2:C186">
    <sortCondition ref="A2:A186"/>
  </sortState>
  <hyperlinks>
    <hyperlink ref="C20" r:id="rId1"/>
    <hyperlink ref="B22" r:id="rId2" display="https://secure.sterlingdirect.com/sys/settings/UserManager.aspx?USERID=0MP%2fV8vOX%2f%2fxYajy7J8Fqg%3d%3d"/>
    <hyperlink ref="C24" r:id="rId3" display="mailto:SRoss3@StateStreet.com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B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95</vt:i4>
      </vt:variant>
    </vt:vector>
  </HeadingPairs>
  <TitlesOfParts>
    <vt:vector size="103" baseType="lpstr">
      <vt:lpstr>Sheet1</vt:lpstr>
      <vt:lpstr>Request Template</vt:lpstr>
      <vt:lpstr>Sheet2</vt:lpstr>
      <vt:lpstr>Account Hierarchy</vt:lpstr>
      <vt:lpstr>Pkg Validator</vt:lpstr>
      <vt:lpstr>Services</vt:lpstr>
      <vt:lpstr>Users</vt:lpstr>
      <vt:lpstr>Sheet3</vt:lpstr>
      <vt:lpstr>ContactName</vt:lpstr>
      <vt:lpstr>Permission_to_contact_Current_Employer?</vt:lpstr>
      <vt:lpstr>Region</vt:lpstr>
      <vt:lpstr>Region1</vt:lpstr>
      <vt:lpstr>Singapore</vt:lpstr>
      <vt:lpstr>State_Street___North_America</vt:lpstr>
      <vt:lpstr>State_Street_Corporation___ASIAPAC</vt:lpstr>
      <vt:lpstr>State_Street_Corporation___Australia_Contingent</vt:lpstr>
      <vt:lpstr>State_Street_Corporation___Australia_Permanent</vt:lpstr>
      <vt:lpstr>State_Street_Corporation___Belarus_Contingent</vt:lpstr>
      <vt:lpstr>State_Street_Corporation___Belarus_Permanent</vt:lpstr>
      <vt:lpstr>State_Street_Corporation___Belgium_Contingent</vt:lpstr>
      <vt:lpstr>State_Street_Corporation___Belgium_Permanent</vt:lpstr>
      <vt:lpstr>State_Street_Corporation___Brazil_Contingent</vt:lpstr>
      <vt:lpstr>State_Street_Corporation___Brazil_Permanent</vt:lpstr>
      <vt:lpstr>State_Street_Corporation___Brunei_Contingent</vt:lpstr>
      <vt:lpstr>State_Street_Corporation___Brunei_Permanent</vt:lpstr>
      <vt:lpstr>State_Street_Corporation___Canada_Contingent</vt:lpstr>
      <vt:lpstr>State_Street_Corporation___Canada_Permanent</vt:lpstr>
      <vt:lpstr>State_Street_Corporation___Cayman_Islands_Contingent</vt:lpstr>
      <vt:lpstr>State_Street_Corporation___Cayman_Islands_Permanent</vt:lpstr>
      <vt:lpstr>State_Street_Corporation___Channel_Islands_Contingent</vt:lpstr>
      <vt:lpstr>State_Street_Corporation___Channel_Islands_Permanent</vt:lpstr>
      <vt:lpstr>State_Street_Corporation___China_Contingent</vt:lpstr>
      <vt:lpstr>State_Street_Corporation___China_Permanent</vt:lpstr>
      <vt:lpstr>State_Street_Corporation___Costa_Rica_Contingent</vt:lpstr>
      <vt:lpstr>State_Street_Corporation___Costa_Rica_Permanent</vt:lpstr>
      <vt:lpstr>State_Street_Corporation___Denmark_Contingent</vt:lpstr>
      <vt:lpstr>State_Street_Corporation___Denmark_Permanent</vt:lpstr>
      <vt:lpstr>State_Street_Corporation___EMEA</vt:lpstr>
      <vt:lpstr>State_Street_Corporation___France_Contingent</vt:lpstr>
      <vt:lpstr>State_Street_Corporation___France_Permanent</vt:lpstr>
      <vt:lpstr>State_Street_Corporation___Germany_Contingent</vt:lpstr>
      <vt:lpstr>State_Street_Corporation___Germany_Permanent</vt:lpstr>
      <vt:lpstr>State_Street_Corporation___Holland_Contingent</vt:lpstr>
      <vt:lpstr>State_Street_Corporation___Holland_Permanent</vt:lpstr>
      <vt:lpstr>State_Street_Corporation___Hong_Kong_Contingent</vt:lpstr>
      <vt:lpstr>State_Street_Corporation___Hong_Kong_Permanent</vt:lpstr>
      <vt:lpstr>State_Street_Corporation___India_Contingent</vt:lpstr>
      <vt:lpstr>State_Street_Corporation___India_Permanent</vt:lpstr>
      <vt:lpstr>State_Street_Corporation___Ireland_Contingent</vt:lpstr>
      <vt:lpstr>State_Street_Corporation___Ireland_Permanent</vt:lpstr>
      <vt:lpstr>State_Street_Corporation___Israel_Contingent</vt:lpstr>
      <vt:lpstr>State_Street_Corporation___Israel_Permanent</vt:lpstr>
      <vt:lpstr>State_Street_Corporation___Italy_Contingent</vt:lpstr>
      <vt:lpstr>State_Street_Corporation___Italy_Permanent</vt:lpstr>
      <vt:lpstr>State_Street_Corporation___Japan_Contingent</vt:lpstr>
      <vt:lpstr>State_Street_Corporation___Japan_Permanent</vt:lpstr>
      <vt:lpstr>State_Street_Corporation___LATAM</vt:lpstr>
      <vt:lpstr>State_Street_Corporation___Luxembourg_Contingent</vt:lpstr>
      <vt:lpstr>State_Street_Corporation___Luxembourg_Permanent</vt:lpstr>
      <vt:lpstr>State_Street_Corporation___Malaysia_Contingent</vt:lpstr>
      <vt:lpstr>State_Street_Corporation___Malaysia_Permanent</vt:lpstr>
      <vt:lpstr>State_Street_Corporation___Mexico_Contingent</vt:lpstr>
      <vt:lpstr>State_Street_Corporation___Mexico_Permanent</vt:lpstr>
      <vt:lpstr>State_Street_Corporation___Moldova_Contingent</vt:lpstr>
      <vt:lpstr>State_Street_Corporation___Moldova_Permanent</vt:lpstr>
      <vt:lpstr>State_Street_Corporation___Netherlands_Contingent</vt:lpstr>
      <vt:lpstr>State_Street_Corporation___Netherlands_Permanent</vt:lpstr>
      <vt:lpstr>State_Street_Corporation___Pakistan_Contingent</vt:lpstr>
      <vt:lpstr>State_Street_Corporation___Pakistan_Permanent</vt:lpstr>
      <vt:lpstr>State_Street_Corporation___Philippines_Contingent</vt:lpstr>
      <vt:lpstr>State_Street_Corporation___Philippines_Permanent</vt:lpstr>
      <vt:lpstr>State_Street_Corporation___Poland_Contingent</vt:lpstr>
      <vt:lpstr>State_Street_Corporation___Poland_Permanent</vt:lpstr>
      <vt:lpstr>State_Street_Corporation___Qatar_Contingent</vt:lpstr>
      <vt:lpstr>State_Street_Corporation___Qatar_Permanent</vt:lpstr>
      <vt:lpstr>State_Street_Corporation___Russia_Contingent</vt:lpstr>
      <vt:lpstr>State_Street_Corporation___Russia_Permanent</vt:lpstr>
      <vt:lpstr>State_Street_Corporation___Saudi_Arabia_Contingent</vt:lpstr>
      <vt:lpstr>State_Street_Corporation___Saudi_Arabia_Permanent</vt:lpstr>
      <vt:lpstr>State_Street_Corporation___Scotland_Contingent</vt:lpstr>
      <vt:lpstr>State_Street_Corporation___Scotland_Permanent</vt:lpstr>
      <vt:lpstr>State_Street_Corporation___Singapore_Contingent</vt:lpstr>
      <vt:lpstr>State_Street_Corporation___Singapore_Permanent</vt:lpstr>
      <vt:lpstr>State_Street_Corporation___South_Africa_Contingent</vt:lpstr>
      <vt:lpstr>State_Street_Corporation___South_Africa_Permanent</vt:lpstr>
      <vt:lpstr>State_Street_Corporation___South_Korea_Contingent</vt:lpstr>
      <vt:lpstr>State_Street_Corporation___South_Korea_Permanent</vt:lpstr>
      <vt:lpstr>State_Street_Corporation___Spain_Contingent</vt:lpstr>
      <vt:lpstr>State_Street_Corporation___Spain_Permanent</vt:lpstr>
      <vt:lpstr>State_Street_Corporation___Switzerland_Contingent</vt:lpstr>
      <vt:lpstr>State_Street_Corporation___Switzerland_Permanent</vt:lpstr>
      <vt:lpstr>State_Street_Corporation___Taiwan_Contingent</vt:lpstr>
      <vt:lpstr>State_Street_Corporation___Taiwan_Permanent</vt:lpstr>
      <vt:lpstr>State_Street_Corporation___Thailand_Contingent</vt:lpstr>
      <vt:lpstr>State_Street_Corporation___Thailand_Permanent</vt:lpstr>
      <vt:lpstr>State_Street_Corporation___Ukraine_Contingent</vt:lpstr>
      <vt:lpstr>State_Street_Corporation___Ukraine_Permanent</vt:lpstr>
      <vt:lpstr>State_Street_Corporation___United_Arab_Emirates_Contingent</vt:lpstr>
      <vt:lpstr>State_Street_Corporation___United_Arab_Emirates_Permanent</vt:lpstr>
      <vt:lpstr>State_Street_Corporation___United_Kingdom_Contingent</vt:lpstr>
      <vt:lpstr>State_Street_Corporation___United_Kingdom_Permanent</vt:lpstr>
      <vt:lpstr>State_Street_Corporation___United_States_Contingent</vt:lpstr>
      <vt:lpstr>State_Street_Corporation___United_States_Permanent</vt:lpstr>
    </vt:vector>
  </TitlesOfParts>
  <Company>Sterling InfoSystems,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Bhavin Chudasama</dc:creator>
  <cp:lastModifiedBy>Wixson, Michael</cp:lastModifiedBy>
  <dcterms:created xsi:type="dcterms:W3CDTF">2015-09-09T14:54:07Z</dcterms:created>
  <dcterms:modified xsi:type="dcterms:W3CDTF">2017-10-10T19:50:21Z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3" name="_NewReviewCycle">
    <vt:lpwstr/>
  </property>
  <property fmtid="{D5CDD505-2E9C-101B-9397-08002B2CF9AE}" pid="8" name="TitusGUID">
    <vt:lpwstr>6d4599bc-b605-4610-bf67-4853f35fa874</vt:lpwstr>
  </property>
</Properties>
</file>